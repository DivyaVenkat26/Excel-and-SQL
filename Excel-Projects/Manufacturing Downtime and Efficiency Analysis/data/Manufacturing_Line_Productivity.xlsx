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SUS\Downloads\Manufacturing + Downtime\"/>
    </mc:Choice>
  </mc:AlternateContent>
  <xr:revisionPtr revIDLastSave="0" documentId="13_ncr:1_{EC83654A-67DE-4331-A139-517D142E6D7D}" xr6:coauthVersionLast="47" xr6:coauthVersionMax="47" xr10:uidLastSave="{00000000-0000-0000-0000-000000000000}"/>
  <bookViews>
    <workbookView xWindow="-120" yWindow="-120" windowWidth="20730" windowHeight="11160" firstSheet="4" activeTab="7" xr2:uid="{8FF62ED8-A67E-423F-8325-F23DB684777C}"/>
  </bookViews>
  <sheets>
    <sheet name="Line downtime" sheetId="2" r:id="rId1"/>
    <sheet name="Line productivity" sheetId="1" r:id="rId2"/>
    <sheet name="Downtime factors" sheetId="3" r:id="rId3"/>
    <sheet name="Production Table" sheetId="9" r:id="rId4"/>
    <sheet name="Products" sheetId="8" r:id="rId5"/>
    <sheet name="Downtime" sheetId="10" r:id="rId6"/>
    <sheet name="Calc" sheetId="11" r:id="rId7"/>
    <sheet name="Dashboard" sheetId="12" r:id="rId8"/>
  </sheets>
  <definedNames>
    <definedName name="_xlnm._FilterDatabase" localSheetId="2" hidden="1">'Downtime factors'!$A$1:$C$13</definedName>
    <definedName name="_xlnm._FilterDatabase" localSheetId="1" hidden="1">'Line productivity'!$A$1:$F$39</definedName>
    <definedName name="_xlcn.WorksheetConnection_Manufacturing_Line_Productivity.xlsxDowntime1" hidden="1">Downtime[]</definedName>
    <definedName name="ExternalData_1" localSheetId="5" hidden="1">Downtime!$A$1:$M$60</definedName>
    <definedName name="ExternalData_1" localSheetId="3" hidden="1">'Production Table'!$A$1:$G$38</definedName>
    <definedName name="Slicer_Description">#N/A</definedName>
    <definedName name="Slicer_Operator">#N/A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s>
  <extLst>
    <ext xmlns:x14="http://schemas.microsoft.com/office/spreadsheetml/2009/9/main" uri="{876F7934-8845-4945-9796-88D515C7AA90}">
      <x14:pivotCaches>
        <pivotCache cacheId="9"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owntime" name="Downtime" connection="WorksheetConnection_Manufacturing_Line_Productivity.xlsx!Downtime"/>
        </x15:modelTables>
        <x15:extLst>
          <ext xmlns:x16="http://schemas.microsoft.com/office/spreadsheetml/2014/11/main" uri="{9835A34E-60A6-4A7C-AAB8-D5F71C897F49}">
            <x16:modelTimeGroupings>
              <x16:modelTimeGrouping tableName="Downtim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C3" i="11" l="1"/>
  <c r="C9" i="11"/>
  <c r="C5" i="11"/>
  <c r="C6" i="11"/>
  <c r="C2" i="11"/>
  <c r="C4" i="11"/>
  <c r="C8" i="11" s="1"/>
  <c r="C7" i="11"/>
  <c r="C1"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1A921F-69D3-4670-B1B5-D36F1E3E2B1C}" keepAlive="1" name="Query - Downtime" description="Connection to the 'Downtime' query in the workbook." type="5" refreshedVersion="8" background="1" saveData="1">
    <dbPr connection="Provider=Microsoft.Mashup.OleDb.1;Data Source=$Workbook$;Location=Downtime;Extended Properties=&quot;&quot;" command="SELECT * FROM [Downtime]"/>
  </connection>
  <connection id="2" xr16:uid="{634E37D7-8A4D-4FB8-82BB-B5DF5E58245D}" keepAlive="1" name="Query - Factor" description="Connection to the 'Factor' query in the workbook." type="5" refreshedVersion="0" background="1">
    <dbPr connection="Provider=Microsoft.Mashup.OleDb.1;Data Source=$Workbook$;Location=Factor;Extended Properties=&quot;&quot;" command="SELECT * FROM [Factor]"/>
  </connection>
  <connection id="3" xr16:uid="{1A7A31A2-15CF-4DA5-B1A6-4C54C8EC91DB}" keepAlive="1" name="Query - Product" description="Connection to the 'Product' query in the workbook." type="5" refreshedVersion="0" background="1">
    <dbPr connection="Provider=Microsoft.Mashup.OleDb.1;Data Source=$Workbook$;Location=Product;Extended Properties=&quot;&quot;" command="SELECT * FROM [Product]"/>
  </connection>
  <connection id="4" xr16:uid="{D7073BD6-5C9E-4629-BBFA-5AF060917562}" keepAlive="1" name="Query - Production Table" description="Connection to the 'Production Table' query in the workbook." type="5" refreshedVersion="8" background="1" saveData="1">
    <dbPr connection="Provider=Microsoft.Mashup.OleDb.1;Data Source=$Workbook$;Location=&quot;Production Table&quot;;Extended Properties=&quot;&quot;" command="SELECT * FROM [Production Table]"/>
  </connection>
  <connection id="5" xr16:uid="{35A8A3C4-0601-41D5-A660-895511884A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C70CCB4B-908F-42B6-840F-FF4F340DC9A3}" name="WorksheetConnection_Manufacturing_Line_Productivity.xlsx!Downtime" type="102" refreshedVersion="8" minRefreshableVersion="5">
    <extLst>
      <ext xmlns:x15="http://schemas.microsoft.com/office/spreadsheetml/2010/11/main" uri="{DE250136-89BD-433C-8126-D09CA5730AF9}">
        <x15:connection id="Downtime" autoDelete="1">
          <x15:rangePr sourceName="_xlcn.WorksheetConnection_Manufacturing_Line_Productivity.xlsxDowntime1"/>
        </x15:connection>
      </ext>
    </extLst>
  </connection>
</connections>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<sst xmlns="http://schemas.openxmlformats.org/spreadsheetml/2006/main" count="798" uniqueCount="117">
  <si>
    <t>Date</t>
  </si>
  <si>
    <t>Product</t>
  </si>
  <si>
    <t>Batch</t>
  </si>
  <si>
    <t>Operator</t>
  </si>
  <si>
    <t>Start Time</t>
  </si>
  <si>
    <t>End Time</t>
  </si>
  <si>
    <t>Factor</t>
  </si>
  <si>
    <t>Operator Error</t>
  </si>
  <si>
    <t>Batch change</t>
  </si>
  <si>
    <t>Machine adjustment</t>
  </si>
  <si>
    <t>Product spill</t>
  </si>
  <si>
    <t>Label switch</t>
  </si>
  <si>
    <t>Machine failure</t>
  </si>
  <si>
    <t>Batch coding error</t>
  </si>
  <si>
    <t>Inventory shortage</t>
  </si>
  <si>
    <t>Conveyor belt jam</t>
  </si>
  <si>
    <t>Other</t>
  </si>
  <si>
    <t>Emergency stop</t>
  </si>
  <si>
    <t>Calibration error</t>
  </si>
  <si>
    <t>Labeling error</t>
  </si>
  <si>
    <t>No</t>
  </si>
  <si>
    <t>Yes</t>
  </si>
  <si>
    <t>Description</t>
  </si>
  <si>
    <t>Downtime factor</t>
  </si>
  <si>
    <t>OR-600</t>
  </si>
  <si>
    <t>LE-600</t>
  </si>
  <si>
    <t>CO-600</t>
  </si>
  <si>
    <t>DC-600</t>
  </si>
  <si>
    <t>RB-600</t>
  </si>
  <si>
    <t>CO-2L</t>
  </si>
  <si>
    <t>Flavor</t>
  </si>
  <si>
    <t>Size</t>
  </si>
  <si>
    <t>Orange</t>
  </si>
  <si>
    <t>Lemon lime</t>
  </si>
  <si>
    <t>Cola</t>
  </si>
  <si>
    <t>Diet Cola</t>
  </si>
  <si>
    <t>Root Beer</t>
  </si>
  <si>
    <t>2 L</t>
  </si>
  <si>
    <t>600 ml</t>
  </si>
  <si>
    <t>Min batch time</t>
  </si>
  <si>
    <t>Charlie</t>
  </si>
  <si>
    <t>Dee</t>
  </si>
  <si>
    <t>Dennis</t>
  </si>
  <si>
    <t>Mac</t>
  </si>
  <si>
    <t>Production Time</t>
  </si>
  <si>
    <t>422111</t>
  </si>
  <si>
    <t>422112</t>
  </si>
  <si>
    <t>422113</t>
  </si>
  <si>
    <t>422114</t>
  </si>
  <si>
    <t>422115</t>
  </si>
  <si>
    <t>422116</t>
  </si>
  <si>
    <t>422117</t>
  </si>
  <si>
    <t>422118</t>
  </si>
  <si>
    <t>422119</t>
  </si>
  <si>
    <t>422120</t>
  </si>
  <si>
    <t>422121</t>
  </si>
  <si>
    <t>422122</t>
  </si>
  <si>
    <t>422123</t>
  </si>
  <si>
    <t>422124</t>
  </si>
  <si>
    <t>422125</t>
  </si>
  <si>
    <t>422126</t>
  </si>
  <si>
    <t>422127</t>
  </si>
  <si>
    <t>422128</t>
  </si>
  <si>
    <t>422129</t>
  </si>
  <si>
    <t>422130</t>
  </si>
  <si>
    <t>422131</t>
  </si>
  <si>
    <t>422132</t>
  </si>
  <si>
    <t>422133</t>
  </si>
  <si>
    <t>422134</t>
  </si>
  <si>
    <t>422135</t>
  </si>
  <si>
    <t>422136</t>
  </si>
  <si>
    <t>422137</t>
  </si>
  <si>
    <t>422138</t>
  </si>
  <si>
    <t>422139</t>
  </si>
  <si>
    <t>422140</t>
  </si>
  <si>
    <t>422141</t>
  </si>
  <si>
    <t>422142</t>
  </si>
  <si>
    <t>422143</t>
  </si>
  <si>
    <t>422144</t>
  </si>
  <si>
    <t>422145</t>
  </si>
  <si>
    <t>422146</t>
  </si>
  <si>
    <t>422147</t>
  </si>
  <si>
    <t>Column1</t>
  </si>
  <si>
    <t>Column2</t>
  </si>
  <si>
    <t>Column3</t>
  </si>
  <si>
    <t>Column4</t>
  </si>
  <si>
    <t>Column5</t>
  </si>
  <si>
    <t>Column6</t>
  </si>
  <si>
    <t>Column7</t>
  </si>
  <si>
    <t>Column8</t>
  </si>
  <si>
    <t>Column9</t>
  </si>
  <si>
    <t>Column10</t>
  </si>
  <si>
    <t>Column11</t>
  </si>
  <si>
    <t>Column12</t>
  </si>
  <si>
    <t>Column13</t>
  </si>
  <si>
    <t>Downtime Factor</t>
  </si>
  <si>
    <t>Downtime</t>
  </si>
  <si>
    <t>Adjusted Value</t>
  </si>
  <si>
    <t>Total Downtime Impact:</t>
  </si>
  <si>
    <t>Total downtime:</t>
  </si>
  <si>
    <t xml:space="preserve">Average Downtime: </t>
  </si>
  <si>
    <t>Max Downtime Impact:</t>
  </si>
  <si>
    <t>Total Production Time:</t>
  </si>
  <si>
    <t>Row Labels</t>
  </si>
  <si>
    <t>Grand Total</t>
  </si>
  <si>
    <t>Distinct Count of Batch</t>
  </si>
  <si>
    <t>Efficiency</t>
  </si>
  <si>
    <t>Total Batches</t>
  </si>
  <si>
    <t>Avg Downtime Per Batch</t>
  </si>
  <si>
    <t>Count of Description</t>
  </si>
  <si>
    <t>Sum of Adjusted Value</t>
  </si>
  <si>
    <t>Sum of Downtime</t>
  </si>
  <si>
    <t>Sum of Production Time</t>
  </si>
  <si>
    <t>#f2e2cd</t>
  </si>
  <si>
    <t>Aug</t>
  </si>
  <si>
    <t>Sep</t>
  </si>
  <si>
    <t>Downtime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</si>
</sst>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F400]h:mm:ss\ AM/PM"/>
    <numFmt numFmtId="166"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10">
    <fill>
      <patternFill patternType="none"/>
    </fill>
    <fill>
      <patternFill patternType="gray125"/>
    </fill>
    <fill>
      <patternFill patternType="solid">
        <fgColor theme="3" tint="0.89999084444715716"/>
        <bgColor indexed="64"/>
      </patternFill>
    </fill>
    <fill>
      <patternFill patternType="solid">
        <fgColor rgb="FF000000"/>
        <bgColor indexed="64"/>
      </patternFill>
    </fill>
    <fill>
      <patternFill patternType="solid">
        <fgColor rgb="FFA69EB0"/>
        <bgColor indexed="64"/>
      </patternFill>
    </fill>
    <fill>
      <patternFill patternType="solid">
        <fgColor rgb="FFF2E2CD"/>
        <bgColor indexed="64"/>
      </patternFill>
    </fill>
    <fill>
      <patternFill patternType="solid">
        <fgColor rgb="FFDADAE3"/>
        <bgColor indexed="64"/>
      </patternFill>
    </fill>
    <fill>
      <patternFill patternType="solid">
        <fgColor rgb="FFEFEFF2"/>
        <bgColor indexed="64"/>
      </patternFill>
    </fill>
    <fill>
      <patternFill patternType="solid">
        <fgColor rgb="FF4C516D"/>
        <bgColor indexed="64"/>
      </patternFill>
    </fill>
    <fill>
      <patternFill patternType="solid">
        <fgColor rgb="FF979AAA"/>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164" fontId="0" fillId="0" borderId="0" xfId="0" applyNumberFormat="1"/>
    <xf numFmtId="0" fontId="1" fillId="2" borderId="0" xfId="0" applyFont="1" applyFill="1"/>
    <xf numFmtId="21" fontId="0" fillId="0" borderId="0" xfId="0" applyNumberFormat="1"/>
    <xf numFmtId="0" fontId="1" fillId="2" borderId="0" xfId="0" applyFont="1" applyFill="1" applyAlignment="1">
      <alignment horizontal="center"/>
    </xf>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3" borderId="0" xfId="0" applyFill="1"/>
    <xf numFmtId="0" fontId="0" fillId="4" borderId="0" xfId="0" applyFill="1"/>
    <xf numFmtId="0" fontId="3" fillId="5" borderId="0" xfId="1" applyFill="1"/>
    <xf numFmtId="0" fontId="0" fillId="6" borderId="0" xfId="0" applyFill="1"/>
    <xf numFmtId="0" fontId="0" fillId="7" borderId="0" xfId="0" applyFill="1"/>
    <xf numFmtId="0" fontId="0" fillId="8" borderId="0" xfId="0" applyFill="1"/>
    <xf numFmtId="0" fontId="0" fillId="9" borderId="0" xfId="0" applyFill="1"/>
    <xf numFmtId="14" fontId="0" fillId="0" borderId="0" xfId="0" applyNumberFormat="1" applyAlignment="1">
      <alignment horizontal="left" indent="1"/>
    </xf>
    <xf numFmtId="166" fontId="0" fillId="0" borderId="0" xfId="0" applyNumberFormat="1"/>
    <xf numFmtId="1" fontId="0" fillId="0" borderId="0" xfId="0" applyNumberFormat="1"/>
  </cellXfs>
  <cellStyles count="2">
    <cellStyle name="Hyperlink" xfId="1" builtinId="8"/>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dxf>
    <dxf>
      <numFmt numFmtId="165" formatCode="[$-F400]h:mm:ss\ AM/PM"/>
    </dxf>
    <dxf>
      <numFmt numFmtId="165" formatCode="[$-F400]h:mm:ss\ AM/PM"/>
    </dxf>
    <dxf>
      <numFmt numFmtId="0" formatCode="General"/>
    </dxf>
    <dxf>
      <numFmt numFmtId="0" formatCode="General"/>
    </dxf>
    <dxf>
      <numFmt numFmtId="0" formatCode="General"/>
    </dxf>
    <dxf>
      <numFmt numFmtId="19" formatCode="dd/mm/yyyy"/>
    </dxf>
    <dxf>
      <font>
        <b/>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dxf>
    <dxf>
      <numFmt numFmtId="26" formatCode="hh:mm:ss"/>
    </dxf>
    <dxf>
      <numFmt numFmtId="26" formatCode="hh:mm:ss"/>
    </dxf>
    <dxf>
      <numFmt numFmtId="164" formatCode="yyyy\-mm\-dd;@"/>
    </dxf>
    <dxf>
      <font>
        <b/>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dxf>
    <dxf>
      <font>
        <b/>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alignment horizontal="center" vertical="bottom" textRotation="0" wrapText="0" indent="0" justifyLastLine="0" shrinkToFit="0" readingOrder="0"/>
    </dxf>
  </dxfs>
  <tableStyles count="0" defaultTableStyle="TableStyleMedium2" defaultPivotStyle="PivotStyleLight16"/>
  <colors>
    <mruColors>
      <color rgb="FF000000"/>
      <color rgb="FFA69EB0"/>
      <color rgb="FF4C516D"/>
      <color rgb="FF979AAA"/>
      <color rgb="FFDADAE3"/>
      <color rgb="FFF2E2CD"/>
      <color rgb="FFF6FB33"/>
      <color rgb="FFF8FC56"/>
      <color rgb="FF929503"/>
      <color rgb="FFEFEF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28" Type="http://schemas.microsoft.com/office/2023/09/relationships/Python" Target="python.xml"/><Relationship Id="rId10" Type="http://schemas.openxmlformats.org/officeDocument/2006/relationships/pivotCacheDefinition" Target="pivotCache/pivotCacheDefinition2.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[Manufacturing_Line_Productivity.xlsx]Calc!Downtime by Issue</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Calc!$B$52</c:f>
              <c:strCache>
                <c:ptCount val="1"/>
                <c:pt idx="0">
                  <c:v>Total</c:v>
                </c:pt>
              </c:strCache>
            </c:strRef>
          </c:tx>
          <c:spPr>
            <a:solidFill>
              <a:schemeClr val="accent1"/>
            </a:solidFill>
            <a:ln>
              <a:noFill/>
            </a:ln>
            <a:effectLst/>
          </c:spPr>
          <c:invertIfNegative val="0"/>
          <c:cat>
            <c:strRef>
              <c:f>Calc!$A$53:$A$58</c:f>
              <c:strCache>
                <c:ptCount val="5"/>
                <c:pt idx="0">
                  <c:v>Machine adjustment</c:v>
                </c:pt>
                <c:pt idx="1">
                  <c:v>Machine failure</c:v>
                </c:pt>
                <c:pt idx="2">
                  <c:v>Batch coding error</c:v>
                </c:pt>
                <c:pt idx="3">
                  <c:v>Other</c:v>
                </c:pt>
                <c:pt idx="4">
                  <c:v>Inventory shortage</c:v>
                </c:pt>
              </c:strCache>
            </c:strRef>
          </c:cat>
          <c:val>
            <c:numRef>
              <c:f>Calc!$B$53:$B$58</c:f>
              <c:numCache>
                <c:formatCode>General</c:formatCode>
                <c:ptCount val="5"/>
                <c:pt idx="0">
                  <c:v>1992</c:v>
                </c:pt>
                <c:pt idx="1">
                  <c:v>1778</c:v>
                </c:pt>
                <c:pt idx="2">
                  <c:v>1104</c:v>
                </c:pt>
                <c:pt idx="3">
                  <c:v>888</c:v>
                </c:pt>
                <c:pt idx="4">
                  <c:v>800</c:v>
                </c:pt>
              </c:numCache>
            </c:numRef>
          </c:val>
          <c:extLst>
            <c:ext xmlns:c16="http://schemas.microsoft.com/office/drawing/2014/chart" uri="{C3380CC4-5D6E-409C-BE32-E72D297353CC}">
              <c16:uniqueId val="{00000000-A7A5-43A3-8003-DBDD52525F7C}"/>
            </c:ext>
          </c:extLst>
        </c:ser>
        <c:dLbls>
          <c:showLegendKey val="0"/>
          <c:showVal val="0"/>
          <c:showCatName val="0"/>
          <c:showSerName val="0"/>
          <c:showPercent val="0"/>
          <c:showBubbleSize val="0"/>
        </c:dLbls>
        <c:gapWidth val="182"/>
        <c:axId val="1455278880"/>
        <c:axId val="1455263040"/>
      </c:barChart>
      <c:catAx>
        <c:axId val="145527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263040"/>
        <c:crosses val="autoZero"/>
        <c:auto val="1"/>
        <c:lblAlgn val="ctr"/>
        <c:lblOffset val="100"/>
        <c:noMultiLvlLbl val="0"/>
      </c:catAx>
      <c:valAx>
        <c:axId val="1455263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27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[Manufacturing_Line_Productivity.xlsx]Calc!PivotTable4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Calc!$B$66</c:f>
              <c:strCache>
                <c:ptCount val="1"/>
                <c:pt idx="0">
                  <c:v>Total</c:v>
                </c:pt>
              </c:strCache>
            </c:strRef>
          </c:tx>
          <c:spPr>
            <a:solidFill>
              <a:schemeClr val="accent1"/>
            </a:solidFill>
            <a:ln>
              <a:noFill/>
            </a:ln>
            <a:effectLst/>
          </c:spPr>
          <c:invertIfNegative val="0"/>
          <c:cat>
            <c:strRef>
              <c:f>Calc!$A$67:$A$73</c:f>
              <c:strCache>
                <c:ptCount val="6"/>
                <c:pt idx="0">
                  <c:v>CO-600</c:v>
                </c:pt>
                <c:pt idx="1">
                  <c:v>RB-600</c:v>
                </c:pt>
                <c:pt idx="2">
                  <c:v>CO-2L</c:v>
                </c:pt>
                <c:pt idx="3">
                  <c:v>DC-600</c:v>
                </c:pt>
                <c:pt idx="4">
                  <c:v>LE-600</c:v>
                </c:pt>
                <c:pt idx="5">
                  <c:v>OR-600</c:v>
                </c:pt>
              </c:strCache>
            </c:strRef>
          </c:cat>
          <c:val>
            <c:numRef>
              <c:f>Calc!$B$67:$B$73</c:f>
              <c:numCache>
                <c:formatCode>General</c:formatCode>
                <c:ptCount val="6"/>
                <c:pt idx="0">
                  <c:v>3276</c:v>
                </c:pt>
                <c:pt idx="1">
                  <c:v>1693</c:v>
                </c:pt>
                <c:pt idx="2">
                  <c:v>1515</c:v>
                </c:pt>
                <c:pt idx="3">
                  <c:v>810</c:v>
                </c:pt>
                <c:pt idx="4">
                  <c:v>780</c:v>
                </c:pt>
                <c:pt idx="5">
                  <c:v>225</c:v>
                </c:pt>
              </c:numCache>
            </c:numRef>
          </c:val>
          <c:extLst>
            <c:ext xmlns:c16="http://schemas.microsoft.com/office/drawing/2014/chart" uri="{C3380CC4-5D6E-409C-BE32-E72D297353CC}">
              <c16:uniqueId val="{00000000-A25E-4B5A-92E3-B48EAA8FA029}"/>
            </c:ext>
          </c:extLst>
        </c:ser>
        <c:dLbls>
          <c:showLegendKey val="0"/>
          <c:showVal val="0"/>
          <c:showCatName val="0"/>
          <c:showSerName val="0"/>
          <c:showPercent val="0"/>
          <c:showBubbleSize val="0"/>
        </c:dLbls>
        <c:gapWidth val="219"/>
        <c:overlap val="-27"/>
        <c:axId val="1455252960"/>
        <c:axId val="1455253440"/>
      </c:barChart>
      <c:catAx>
        <c:axId val="145525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253440"/>
        <c:crosses val="autoZero"/>
        <c:auto val="1"/>
        <c:lblAlgn val="ctr"/>
        <c:lblOffset val="100"/>
        <c:noMultiLvlLbl val="0"/>
      </c:catAx>
      <c:valAx>
        <c:axId val="145525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25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[Manufacturing_Line_Productivity.xlsx]Calc!PivotTable5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Calc!$B$75</c:f>
              <c:strCache>
                <c:ptCount val="1"/>
                <c:pt idx="0">
                  <c:v>Total</c:v>
                </c:pt>
              </c:strCache>
            </c:strRef>
          </c:tx>
          <c:spPr>
            <a:solidFill>
              <a:schemeClr val="accent1"/>
            </a:solidFill>
            <a:ln>
              <a:noFill/>
            </a:ln>
            <a:effectLst/>
          </c:spPr>
          <c:invertIfNegative val="0"/>
          <c:cat>
            <c:strRef>
              <c:f>Calc!$A$76:$A$80</c:f>
              <c:strCache>
                <c:ptCount val="4"/>
                <c:pt idx="0">
                  <c:v>Charlie</c:v>
                </c:pt>
                <c:pt idx="1">
                  <c:v>Dee</c:v>
                </c:pt>
                <c:pt idx="2">
                  <c:v>Dennis</c:v>
                </c:pt>
                <c:pt idx="3">
                  <c:v>Mac</c:v>
                </c:pt>
              </c:strCache>
            </c:strRef>
          </c:cat>
          <c:val>
            <c:numRef>
              <c:f>Calc!$B$76:$B$80</c:f>
              <c:numCache>
                <c:formatCode>General</c:formatCode>
                <c:ptCount val="4"/>
                <c:pt idx="0">
                  <c:v>2653</c:v>
                </c:pt>
                <c:pt idx="1">
                  <c:v>2377</c:v>
                </c:pt>
                <c:pt idx="2">
                  <c:v>1884</c:v>
                </c:pt>
                <c:pt idx="3">
                  <c:v>1385</c:v>
                </c:pt>
              </c:numCache>
            </c:numRef>
          </c:val>
          <c:extLst>
            <c:ext xmlns:c16="http://schemas.microsoft.com/office/drawing/2014/chart" uri="{C3380CC4-5D6E-409C-BE32-E72D297353CC}">
              <c16:uniqueId val="{00000000-3D63-4E23-9F75-12F98A6443EC}"/>
            </c:ext>
          </c:extLst>
        </c:ser>
        <c:dLbls>
          <c:showLegendKey val="0"/>
          <c:showVal val="0"/>
          <c:showCatName val="0"/>
          <c:showSerName val="0"/>
          <c:showPercent val="0"/>
          <c:showBubbleSize val="0"/>
        </c:dLbls>
        <c:gapWidth val="182"/>
        <c:axId val="1455280800"/>
        <c:axId val="1455268320"/>
      </c:barChart>
      <c:catAx>
        <c:axId val="145528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268320"/>
        <c:crosses val="autoZero"/>
        <c:auto val="1"/>
        <c:lblAlgn val="ctr"/>
        <c:lblOffset val="100"/>
        <c:noMultiLvlLbl val="0"/>
      </c:catAx>
      <c:valAx>
        <c:axId val="1455268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28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[Manufacturing_Line_Productivity.xlsx]Calc!PivotTable6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Calc!$B$82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0C-4AD1-8D37-14E4650240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0C-4AD1-8D37-14E4650240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0C-4AD1-8D37-14E4650240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0C-4AD1-8D37-14E4650240B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0C-4AD1-8D37-14E4650240B9}"/>
              </c:ext>
            </c:extLst>
          </c:dPt>
          <c:cat>
            <c:strRef>
              <c:f>Calc!$A$83:$A$88</c:f>
              <c:strCache>
                <c:ptCount val="5"/>
                <c:pt idx="0">
                  <c:v>Cola</c:v>
                </c:pt>
                <c:pt idx="1">
                  <c:v>Diet Cola</c:v>
                </c:pt>
                <c:pt idx="2">
                  <c:v>Lemon lime</c:v>
                </c:pt>
                <c:pt idx="3">
                  <c:v>Orange</c:v>
                </c:pt>
                <c:pt idx="4">
                  <c:v>Root Beer</c:v>
                </c:pt>
              </c:strCache>
            </c:strRef>
          </c:cat>
          <c:val>
            <c:numRef>
              <c:f>Calc!$B$83:$B$88</c:f>
              <c:numCache>
                <c:formatCode>General</c:formatCode>
                <c:ptCount val="5"/>
                <c:pt idx="0">
                  <c:v>739</c:v>
                </c:pt>
                <c:pt idx="1">
                  <c:v>115</c:v>
                </c:pt>
                <c:pt idx="2">
                  <c:v>169</c:v>
                </c:pt>
                <c:pt idx="3">
                  <c:v>75</c:v>
                </c:pt>
                <c:pt idx="4">
                  <c:v>258</c:v>
                </c:pt>
              </c:numCache>
            </c:numRef>
          </c:val>
          <c:extLst>
            <c:ext xmlns:c16="http://schemas.microsoft.com/office/drawing/2014/chart" uri="{C3380CC4-5D6E-409C-BE32-E72D297353CC}">
              <c16:uniqueId val="{0000000A-89D1-4BDC-AA1E-4F8B423FAB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[Manufacturing_Line_Productivity.xlsx]Calc!PivotTable7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Calc!$B$90</c:f>
              <c:strCache>
                <c:ptCount val="1"/>
                <c:pt idx="0">
                  <c:v>Sum of Production Time</c:v>
                </c:pt>
              </c:strCache>
            </c:strRef>
          </c:tx>
          <c:spPr>
            <a:solidFill>
              <a:schemeClr val="accent1"/>
            </a:solidFill>
            <a:ln>
              <a:noFill/>
            </a:ln>
            <a:effectLst/>
          </c:spPr>
          <c:invertIfNegative val="0"/>
          <c:cat>
            <c:strRef>
              <c:f>Calc!$A$91:$A$97</c:f>
              <c:strCache>
                <c:ptCount val="6"/>
                <c:pt idx="0">
                  <c:v>CO-600</c:v>
                </c:pt>
                <c:pt idx="1">
                  <c:v>CO-2L</c:v>
                </c:pt>
                <c:pt idx="2">
                  <c:v>RB-600</c:v>
                </c:pt>
                <c:pt idx="3">
                  <c:v>LE-600</c:v>
                </c:pt>
                <c:pt idx="4">
                  <c:v>DC-600</c:v>
                </c:pt>
                <c:pt idx="5">
                  <c:v>OR-600</c:v>
                </c:pt>
              </c:strCache>
            </c:strRef>
          </c:cat>
          <c:val>
            <c:numRef>
              <c:f>Calc!$B$91:$B$97</c:f>
              <c:numCache>
                <c:formatCode>General</c:formatCode>
                <c:ptCount val="6"/>
                <c:pt idx="0">
                  <c:v>2433</c:v>
                </c:pt>
                <c:pt idx="1">
                  <c:v>1519</c:v>
                </c:pt>
                <c:pt idx="2">
                  <c:v>1119</c:v>
                </c:pt>
                <c:pt idx="3">
                  <c:v>744</c:v>
                </c:pt>
                <c:pt idx="4">
                  <c:v>510</c:v>
                </c:pt>
                <c:pt idx="5">
                  <c:v>270</c:v>
                </c:pt>
              </c:numCache>
            </c:numRef>
          </c:val>
          <c:extLst>
            <c:ext xmlns:c16="http://schemas.microsoft.com/office/drawing/2014/chart" uri="{C3380CC4-5D6E-409C-BE32-E72D297353CC}">
              <c16:uniqueId val="{00000000-BD62-4763-9922-5C599967CEDE}"/>
            </c:ext>
          </c:extLst>
        </c:ser>
        <c:ser>
          <c:idx val="1"/>
          <c:order val="1"/>
          <c:tx>
            <c:strRef>
              <c:f>Calc!$C$90</c:f>
              <c:strCache>
                <c:ptCount val="1"/>
                <c:pt idx="0">
                  <c:v>Sum of Downtime</c:v>
                </c:pt>
              </c:strCache>
            </c:strRef>
          </c:tx>
          <c:spPr>
            <a:solidFill>
              <a:schemeClr val="accent2"/>
            </a:solidFill>
            <a:ln>
              <a:noFill/>
            </a:ln>
            <a:effectLst/>
          </c:spPr>
          <c:invertIfNegative val="0"/>
          <c:cat>
            <c:strRef>
              <c:f>Calc!$A$91:$A$97</c:f>
              <c:strCache>
                <c:ptCount val="6"/>
                <c:pt idx="0">
                  <c:v>CO-600</c:v>
                </c:pt>
                <c:pt idx="1">
                  <c:v>CO-2L</c:v>
                </c:pt>
                <c:pt idx="2">
                  <c:v>RB-600</c:v>
                </c:pt>
                <c:pt idx="3">
                  <c:v>LE-600</c:v>
                </c:pt>
                <c:pt idx="4">
                  <c:v>DC-600</c:v>
                </c:pt>
                <c:pt idx="5">
                  <c:v>OR-600</c:v>
                </c:pt>
              </c:strCache>
            </c:strRef>
          </c:cat>
          <c:val>
            <c:numRef>
              <c:f>Calc!$C$91:$C$97</c:f>
              <c:numCache>
                <c:formatCode>General</c:formatCode>
                <c:ptCount val="6"/>
                <c:pt idx="0">
                  <c:v>494</c:v>
                </c:pt>
                <c:pt idx="1">
                  <c:v>245</c:v>
                </c:pt>
                <c:pt idx="2">
                  <c:v>258</c:v>
                </c:pt>
                <c:pt idx="3">
                  <c:v>169</c:v>
                </c:pt>
                <c:pt idx="4">
                  <c:v>115</c:v>
                </c:pt>
                <c:pt idx="5">
                  <c:v>75</c:v>
                </c:pt>
              </c:numCache>
            </c:numRef>
          </c:val>
          <c:extLst>
            <c:ext xmlns:c16="http://schemas.microsoft.com/office/drawing/2014/chart" uri="{C3380CC4-5D6E-409C-BE32-E72D297353CC}">
              <c16:uniqueId val="{00000001-BD62-4763-9922-5C599967CEDE}"/>
            </c:ext>
          </c:extLst>
        </c:ser>
        <c:dLbls>
          <c:showLegendKey val="0"/>
          <c:showVal val="0"/>
          <c:showCatName val="0"/>
          <c:showSerName val="0"/>
          <c:showPercent val="0"/>
          <c:showBubbleSize val="0"/>
        </c:dLbls>
        <c:gapWidth val="219"/>
        <c:overlap val="-27"/>
        <c:axId val="1534553792"/>
        <c:axId val="1534545152"/>
      </c:barChart>
      <c:catAx>
        <c:axId val="153455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545152"/>
        <c:crosses val="autoZero"/>
        <c:auto val="1"/>
        <c:lblAlgn val="ctr"/>
        <c:lblOffset val="100"/>
        <c:noMultiLvlLbl val="0"/>
      </c:catAx>
      <c:valAx>
        <c:axId val="153454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55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[Manufacturing_Line_Productivity.xlsx]Calc!PivotTable1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Calc!$B$108</c:f>
              <c:strCache>
                <c:ptCount val="1"/>
                <c:pt idx="0">
                  <c:v>Total</c:v>
                </c:pt>
              </c:strCache>
            </c:strRef>
          </c:tx>
          <c:spPr>
            <a:ln w="28575" cap="rnd">
              <a:solidFill>
                <a:schemeClr val="accent1"/>
              </a:solidFill>
              <a:round/>
            </a:ln>
            <a:effectLst/>
          </c:spPr>
          <c:marker>
            <c:symbol val="none"/>
          </c:marker>
          <c:cat>
            <c:multiLvlStrRef>
              <c:f>Calc!$A$109:$A$115</c:f>
              <c:multiLvlStrCache>
                <c:ptCount val="4"/>
                <c:lvl>
                  <c:pt idx="0">
                    <c:v>29-08-2024</c:v>
                  </c:pt>
                  <c:pt idx="1">
                    <c:v>30-08-2024</c:v>
                  </c:pt>
                  <c:pt idx="2">
                    <c:v>31-08-2024</c:v>
                  </c:pt>
                  <c:pt idx="3">
                    <c:v>02-09-2024</c:v>
                  </c:pt>
                </c:lvl>
                <c:lvl>
                  <c:pt idx="0">
                    <c:v>Aug</c:v>
                  </c:pt>
                  <c:pt idx="3">
                    <c:v>Sep</c:v>
                  </c:pt>
                </c:lvl>
              </c:multiLvlStrCache>
            </c:multiLvlStrRef>
          </c:cat>
          <c:val>
            <c:numRef>
              <c:f>Calc!$B$109:$B$115</c:f>
              <c:numCache>
                <c:formatCode>General</c:formatCode>
                <c:ptCount val="4"/>
                <c:pt idx="0">
                  <c:v>1005</c:v>
                </c:pt>
                <c:pt idx="1">
                  <c:v>3056</c:v>
                </c:pt>
                <c:pt idx="2">
                  <c:v>1030</c:v>
                </c:pt>
                <c:pt idx="3">
                  <c:v>3208</c:v>
                </c:pt>
              </c:numCache>
            </c:numRef>
          </c:val>
          <c:smooth val="0"/>
          <c:extLst>
            <c:ext xmlns:c16="http://schemas.microsoft.com/office/drawing/2014/chart" uri="{C3380CC4-5D6E-409C-BE32-E72D297353CC}">
              <c16:uniqueId val="{00000002-A69A-44BE-A812-D9A2B0169D23}"/>
            </c:ext>
          </c:extLst>
        </c:ser>
        <c:dLbls>
          <c:showLegendKey val="0"/>
          <c:showVal val="0"/>
          <c:showCatName val="0"/>
          <c:showSerName val="0"/>
          <c:showPercent val="0"/>
          <c:showBubbleSize val="0"/>
        </c:dLbls>
        <c:smooth val="0"/>
        <c:axId val="1516185791"/>
        <c:axId val="1516179071"/>
      </c:lineChart>
      <c:catAx>
        <c:axId val="151618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179071"/>
        <c:crosses val="autoZero"/>
        <c:auto val="1"/>
        <c:lblAlgn val="ctr"/>
        <c:lblOffset val="100"/>
        <c:noMultiLvlLbl val="0"/>
      </c:catAx>
      <c:valAx>
        <c:axId val="151617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18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[Manufacturing_Line_Productivity.xlsx]Calc!Downtime by Issue</c:name>
    <c:fmtId val="5"/>
  </c:pivotSource>
  <c:chart>
    <c:title>
      <c:tx>
        <c:rich>
          <a:bodyPr rot="0" spcFirstLastPara="1" vertOverflow="ellipsis" vert="horz" wrap="square" anchor="ctr" anchorCtr="1"/>
          <a:lstStyle/>
          <a:p>
            <a:pPr algn="ctr">
              <a:defRPr sz="1400" b="1" i="0" u="none" strike="noStrike" kern="1200" spc="0" baseline="0">
                <a:solidFill>
                  <a:schemeClr val="bg1"/>
                </a:solidFill>
                <a:latin typeface="+mn-lt"/>
                <a:ea typeface="+mn-ea"/>
                <a:cs typeface="+mn-cs"/>
              </a:defRPr>
            </a:pPr>
            <a:r>
              <a:rPr lang="en-US" b="1" baseline="0">
                <a:solidFill>
                  <a:schemeClr val="bg1"/>
                </a:solidFill>
              </a:rPr>
              <a:t>Top 5 Issues By Downtime Impact</a:t>
            </a:r>
            <a:endParaRPr lang="en-US" b="1">
              <a:solidFill>
                <a:schemeClr val="bg1"/>
              </a:solidFill>
            </a:endParaRPr>
          </a:p>
        </c:rich>
      </c:tx>
      <c:layout>
        <c:manualLayout>
          <c:xMode val="edge"/>
          <c:yMode val="edge"/>
          <c:x val="0.16019241292529604"/>
          <c:y val="2.9415920266642578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9E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59439577095117"/>
          <c:y val="0.17391107929690608"/>
          <c:w val="0.58557007134671546"/>
          <c:h val="0.75062244492165753"/>
        </c:manualLayout>
      </c:layout>
      <c:barChart>
        <c:barDir val="bar"/>
        <c:grouping val="clustered"/>
        <c:varyColors val="0"/>
        <c:ser>
          <c:idx val="0"/>
          <c:order val="0"/>
          <c:tx>
            <c:strRef>
              <c:f>Calc!$B$52</c:f>
              <c:strCache>
                <c:ptCount val="1"/>
                <c:pt idx="0">
                  <c:v>Total</c:v>
                </c:pt>
              </c:strCache>
            </c:strRef>
          </c:tx>
          <c:spPr>
            <a:solidFill>
              <a:srgbClr val="A69E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Calc!$A$53:$A$58</c:f>
              <c:strCache>
                <c:ptCount val="5"/>
                <c:pt idx="0">
                  <c:v>Machine adjustment</c:v>
                </c:pt>
                <c:pt idx="1">
                  <c:v>Machine failure</c:v>
                </c:pt>
                <c:pt idx="2">
                  <c:v>Batch coding error</c:v>
                </c:pt>
                <c:pt idx="3">
                  <c:v>Other</c:v>
                </c:pt>
                <c:pt idx="4">
                  <c:v>Inventory shortage</c:v>
                </c:pt>
              </c:strCache>
            </c:strRef>
          </c:cat>
          <c:val>
            <c:numRef>
              <c:f>Calc!$B$53:$B$58</c:f>
              <c:numCache>
                <c:formatCode>General</c:formatCode>
                <c:ptCount val="5"/>
                <c:pt idx="0">
                  <c:v>1992</c:v>
                </c:pt>
                <c:pt idx="1">
                  <c:v>1778</c:v>
                </c:pt>
                <c:pt idx="2">
                  <c:v>1104</c:v>
                </c:pt>
                <c:pt idx="3">
                  <c:v>888</c:v>
                </c:pt>
                <c:pt idx="4">
                  <c:v>800</c:v>
                </c:pt>
              </c:numCache>
            </c:numRef>
          </c:val>
          <c:extLst>
            <c:ext xmlns:c16="http://schemas.microsoft.com/office/drawing/2014/chart" uri="{C3380CC4-5D6E-409C-BE32-E72D297353CC}">
              <c16:uniqueId val="{00000000-4F8F-46FE-9C0D-B92A85B025C2}"/>
            </c:ext>
          </c:extLst>
        </c:ser>
        <c:dLbls>
          <c:dLblPos val="outEnd"/>
          <c:showLegendKey val="0"/>
          <c:showVal val="1"/>
          <c:showCatName val="0"/>
          <c:showSerName val="0"/>
          <c:showPercent val="0"/>
          <c:showBubbleSize val="0"/>
        </c:dLbls>
        <c:gapWidth val="25"/>
        <c:axId val="1455278880"/>
        <c:axId val="1455263040"/>
      </c:barChart>
      <c:catAx>
        <c:axId val="145527888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55263040"/>
        <c:crosses val="autoZero"/>
        <c:auto val="1"/>
        <c:lblAlgn val="ctr"/>
        <c:lblOffset val="100"/>
        <c:noMultiLvlLbl val="0"/>
      </c:catAx>
      <c:valAx>
        <c:axId val="1455263040"/>
        <c:scaling>
          <c:orientation val="minMax"/>
        </c:scaling>
        <c:delete val="1"/>
        <c:axPos val="t"/>
        <c:numFmt formatCode="General" sourceLinked="1"/>
        <c:majorTickMark val="out"/>
        <c:minorTickMark val="none"/>
        <c:tickLblPos val="nextTo"/>
        <c:crossAx val="145527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tx1"/>
        </a:gs>
        <a:gs pos="0">
          <a:schemeClr val="accent3">
            <a:lumMod val="97000"/>
            <a:lumOff val="3000"/>
          </a:schemeClr>
        </a:gs>
        <a:gs pos="100000">
          <a:schemeClr val="accent3">
            <a:lumMod val="60000"/>
            <a:lumOff val="40000"/>
          </a:schemeClr>
        </a:gs>
      </a:gsLst>
      <a:lin ang="16200000" scaled="1"/>
    </a:gra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[Manufacturing_Line_Productivity.xlsx]Calc!PivotTable4</c:name>
    <c:fmtId val="3"/>
  </c:pivotSource>
  <c:chart>
    <c:title>
      <c:tx>
        <c:rich>
          <a:bodyPr rot="0" spcFirstLastPara="1" vertOverflow="ellipsis" vert="horz" wrap="square" anchor="ctr" anchorCtr="1"/>
          <a:lstStyle/>
          <a:p>
            <a:pPr algn="ctr">
              <a:defRPr sz="1400" b="1" i="0" u="none" strike="noStrike" kern="1200" spc="0" baseline="0">
                <a:solidFill>
                  <a:schemeClr val="bg1"/>
                </a:solidFill>
                <a:latin typeface="+mn-lt"/>
                <a:ea typeface="+mn-ea"/>
                <a:cs typeface="+mn-cs"/>
              </a:defRPr>
            </a:pPr>
            <a:r>
              <a:rPr lang="en-US" b="1"/>
              <a:t>Downtime Impact  By Products</a:t>
            </a:r>
          </a:p>
        </c:rich>
      </c:tx>
      <c:layout>
        <c:manualLayout>
          <c:xMode val="edge"/>
          <c:yMode val="edge"/>
          <c:x val="0.13878834446629987"/>
          <c:y val="4.7403096271606181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9EB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Calc!$B$66</c:f>
              <c:strCache>
                <c:ptCount val="1"/>
                <c:pt idx="0">
                  <c:v>Total</c:v>
                </c:pt>
              </c:strCache>
            </c:strRef>
          </c:tx>
          <c:spPr>
            <a:solidFill>
              <a:srgbClr val="A69EB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Calc!$A$67:$A$73</c:f>
              <c:strCache>
                <c:ptCount val="6"/>
                <c:pt idx="0">
                  <c:v>CO-600</c:v>
                </c:pt>
                <c:pt idx="1">
                  <c:v>RB-600</c:v>
                </c:pt>
                <c:pt idx="2">
                  <c:v>CO-2L</c:v>
                </c:pt>
                <c:pt idx="3">
                  <c:v>DC-600</c:v>
                </c:pt>
                <c:pt idx="4">
                  <c:v>LE-600</c:v>
                </c:pt>
                <c:pt idx="5">
                  <c:v>OR-600</c:v>
                </c:pt>
              </c:strCache>
            </c:strRef>
          </c:cat>
          <c:val>
            <c:numRef>
              <c:f>Calc!$B$67:$B$73</c:f>
              <c:numCache>
                <c:formatCode>General</c:formatCode>
                <c:ptCount val="6"/>
                <c:pt idx="0">
                  <c:v>3276</c:v>
                </c:pt>
                <c:pt idx="1">
                  <c:v>1693</c:v>
                </c:pt>
                <c:pt idx="2">
                  <c:v>1515</c:v>
                </c:pt>
                <c:pt idx="3">
                  <c:v>810</c:v>
                </c:pt>
                <c:pt idx="4">
                  <c:v>780</c:v>
                </c:pt>
                <c:pt idx="5">
                  <c:v>225</c:v>
                </c:pt>
              </c:numCache>
            </c:numRef>
          </c:val>
          <c:extLst>
            <c:ext xmlns:c16="http://schemas.microsoft.com/office/drawing/2014/chart" uri="{C3380CC4-5D6E-409C-BE32-E72D297353CC}">
              <c16:uniqueId val="{00000000-13B6-4F0B-BAC1-E5097FBFBBF6}"/>
            </c:ext>
          </c:extLst>
        </c:ser>
        <c:dLbls>
          <c:dLblPos val="outEnd"/>
          <c:showLegendKey val="0"/>
          <c:showVal val="1"/>
          <c:showCatName val="0"/>
          <c:showSerName val="0"/>
          <c:showPercent val="0"/>
          <c:showBubbleSize val="0"/>
        </c:dLbls>
        <c:gapWidth val="22"/>
        <c:overlap val="-27"/>
        <c:axId val="1455252960"/>
        <c:axId val="1455253440"/>
      </c:barChart>
      <c:catAx>
        <c:axId val="1455252960"/>
        <c:scaling>
          <c:orientation val="minMax"/>
        </c:scaling>
        <c:delete val="0"/>
        <c:axPos val="b"/>
        <c:numFmt formatCode="General" sourceLinked="1"/>
        <c:majorTickMark val="none"/>
        <c:minorTickMark val="none"/>
        <c:tickLblPos val="nextTo"/>
        <c:spPr>
          <a:solidFill>
            <a:schemeClr val="tx1">
              <a:lumMod val="85000"/>
              <a:lumOff val="1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5253440"/>
        <c:crosses val="autoZero"/>
        <c:auto val="1"/>
        <c:lblAlgn val="ctr"/>
        <c:lblOffset val="100"/>
        <c:noMultiLvlLbl val="0"/>
      </c:catAx>
      <c:valAx>
        <c:axId val="1455253440"/>
        <c:scaling>
          <c:orientation val="minMax"/>
        </c:scaling>
        <c:delete val="1"/>
        <c:axPos val="l"/>
        <c:numFmt formatCode="General" sourceLinked="1"/>
        <c:majorTickMark val="none"/>
        <c:minorTickMark val="none"/>
        <c:tickLblPos val="nextTo"/>
        <c:crossAx val="145525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tx1"/>
        </a:gs>
        <a:gs pos="0">
          <a:schemeClr val="accent3">
            <a:lumMod val="97000"/>
            <a:lumOff val="3000"/>
          </a:schemeClr>
        </a:gs>
        <a:gs pos="100000">
          <a:schemeClr val="accent3">
            <a:lumMod val="60000"/>
            <a:lumOff val="40000"/>
          </a:schemeClr>
        </a:gs>
      </a:gsLst>
      <a:lin ang="16200000" scaled="1"/>
    </a:gradFill>
    <a:ln w="9525" cap="flat" cmpd="sng" algn="ctr">
      <a:solidFill>
        <a:schemeClr val="tx1">
          <a:lumMod val="85000"/>
          <a:lumOff val="1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[Manufacturing_Line_Productivity.xlsx]Calc!PivotTable5</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baseline="0">
                <a:solidFill>
                  <a:schemeClr val="bg1"/>
                </a:solidFill>
              </a:rPr>
              <a:t>Operator-wise Downtime Impact</a:t>
            </a:r>
            <a:endParaRPr lang="en-US" b="1">
              <a:solidFill>
                <a:schemeClr val="bg1"/>
              </a:solidFill>
            </a:endParaRPr>
          </a:p>
        </c:rich>
      </c:tx>
      <c:layout>
        <c:manualLayout>
          <c:xMode val="edge"/>
          <c:yMode val="edge"/>
          <c:x val="0.13828204429168103"/>
          <c:y val="4.404911997142010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9E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69EB0"/>
          </a:solidFill>
          <a:ln>
            <a:noFill/>
          </a:ln>
          <a:effectLst/>
        </c:spPr>
      </c:pivotFmt>
    </c:pivotFmts>
    <c:plotArea>
      <c:layout/>
      <c:barChart>
        <c:barDir val="bar"/>
        <c:grouping val="clustered"/>
        <c:varyColors val="0"/>
        <c:ser>
          <c:idx val="0"/>
          <c:order val="0"/>
          <c:tx>
            <c:strRef>
              <c:f>Calc!$B$75</c:f>
              <c:strCache>
                <c:ptCount val="1"/>
                <c:pt idx="0">
                  <c:v>Total</c:v>
                </c:pt>
              </c:strCache>
            </c:strRef>
          </c:tx>
          <c:spPr>
            <a:solidFill>
              <a:srgbClr val="A69E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Calc!$A$76:$A$80</c:f>
              <c:strCache>
                <c:ptCount val="4"/>
                <c:pt idx="0">
                  <c:v>Charlie</c:v>
                </c:pt>
                <c:pt idx="1">
                  <c:v>Dee</c:v>
                </c:pt>
                <c:pt idx="2">
                  <c:v>Dennis</c:v>
                </c:pt>
                <c:pt idx="3">
                  <c:v>Mac</c:v>
                </c:pt>
              </c:strCache>
            </c:strRef>
          </c:cat>
          <c:val>
            <c:numRef>
              <c:f>Calc!$B$76:$B$80</c:f>
              <c:numCache>
                <c:formatCode>General</c:formatCode>
                <c:ptCount val="4"/>
                <c:pt idx="0">
                  <c:v>2653</c:v>
                </c:pt>
                <c:pt idx="1">
                  <c:v>2377</c:v>
                </c:pt>
                <c:pt idx="2">
                  <c:v>1884</c:v>
                </c:pt>
                <c:pt idx="3">
                  <c:v>1385</c:v>
                </c:pt>
              </c:numCache>
            </c:numRef>
          </c:val>
          <c:extLst>
            <c:ext xmlns:c16="http://schemas.microsoft.com/office/drawing/2014/chart" uri="{C3380CC4-5D6E-409C-BE32-E72D297353CC}">
              <c16:uniqueId val="{00000000-C757-4466-BE16-88A9F821C96D}"/>
            </c:ext>
          </c:extLst>
        </c:ser>
        <c:dLbls>
          <c:dLblPos val="outEnd"/>
          <c:showLegendKey val="0"/>
          <c:showVal val="1"/>
          <c:showCatName val="0"/>
          <c:showSerName val="0"/>
          <c:showPercent val="0"/>
          <c:showBubbleSize val="0"/>
        </c:dLbls>
        <c:gapWidth val="25"/>
        <c:axId val="1455280800"/>
        <c:axId val="1455268320"/>
      </c:barChart>
      <c:catAx>
        <c:axId val="145528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55268320"/>
        <c:crosses val="autoZero"/>
        <c:auto val="1"/>
        <c:lblAlgn val="ctr"/>
        <c:lblOffset val="100"/>
        <c:noMultiLvlLbl val="0"/>
      </c:catAx>
      <c:valAx>
        <c:axId val="1455268320"/>
        <c:scaling>
          <c:orientation val="minMax"/>
        </c:scaling>
        <c:delete val="1"/>
        <c:axPos val="b"/>
        <c:numFmt formatCode="General" sourceLinked="1"/>
        <c:majorTickMark val="none"/>
        <c:minorTickMark val="none"/>
        <c:tickLblPos val="nextTo"/>
        <c:crossAx val="145528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tx1"/>
        </a:gs>
        <a:gs pos="0">
          <a:schemeClr val="accent3">
            <a:lumMod val="97000"/>
            <a:lumOff val="3000"/>
          </a:schemeClr>
        </a:gs>
        <a:gs pos="100000">
          <a:schemeClr val="accent3">
            <a:lumMod val="60000"/>
            <a:lumOff val="40000"/>
          </a:schemeClr>
        </a:gs>
      </a:gsLst>
      <a:lin ang="16200000" scaled="1"/>
    </a:gra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[Manufacturing_Line_Productivity.xlsx]Calc!PivotTable6</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Downtime Impact By Flavor</a:t>
            </a:r>
          </a:p>
        </c:rich>
      </c:tx>
      <c:layout>
        <c:manualLayout>
          <c:xMode val="edge"/>
          <c:yMode val="edge"/>
          <c:x val="0.19825420276605538"/>
          <c:y val="5.039980038504256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A69EB0"/>
          </a:solidFill>
          <a:ln w="19050">
            <a:solidFill>
              <a:schemeClr val="lt1"/>
            </a:solidFill>
          </a:ln>
          <a:effectLst/>
        </c:spPr>
      </c:pivotFmt>
      <c:pivotFmt>
        <c:idx val="9"/>
        <c:spPr>
          <a:solidFill>
            <a:schemeClr val="bg2">
              <a:lumMod val="25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tx2">
              <a:lumMod val="75000"/>
              <a:lumOff val="25000"/>
            </a:schemeClr>
          </a:solidFill>
          <a:ln w="19050">
            <a:solidFill>
              <a:schemeClr val="lt1"/>
            </a:solidFill>
          </a:ln>
          <a:effectLst/>
        </c:spPr>
      </c:pivotFmt>
      <c:pivotFmt>
        <c:idx val="12"/>
        <c:spPr>
          <a:solidFill>
            <a:schemeClr val="accent1">
              <a:lumMod val="50000"/>
            </a:schemeClr>
          </a:solidFill>
          <a:ln w="19050">
            <a:solidFill>
              <a:schemeClr val="lt1"/>
            </a:solidFill>
          </a:ln>
          <a:effectLst/>
        </c:spPr>
      </c:pivotFmt>
    </c:pivotFmts>
    <c:plotArea>
      <c:layout/>
      <c:pieChart>
        <c:varyColors val="1"/>
        <c:ser>
          <c:idx val="0"/>
          <c:order val="0"/>
          <c:tx>
            <c:strRef>
              <c:f>Calc!$B$82</c:f>
              <c:strCache>
                <c:ptCount val="1"/>
                <c:pt idx="0">
                  <c:v>Total</c:v>
                </c:pt>
              </c:strCache>
            </c:strRef>
          </c:tx>
          <c:dPt>
            <c:idx val="0"/>
            <c:bubble3D val="0"/>
            <c:spPr>
              <a:solidFill>
                <a:srgbClr val="A69EB0"/>
              </a:solidFill>
              <a:ln w="19050">
                <a:solidFill>
                  <a:schemeClr val="lt1"/>
                </a:solidFill>
              </a:ln>
              <a:effectLst/>
            </c:spPr>
            <c:extLst>
              <c:ext xmlns:c16="http://schemas.microsoft.com/office/drawing/2014/chart" uri="{C3380CC4-5D6E-409C-BE32-E72D297353CC}">
                <c16:uniqueId val="{00000001-CC22-480A-A808-E09CF163C784}"/>
              </c:ext>
            </c:extLst>
          </c:dPt>
          <c:dPt>
            <c:idx val="1"/>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3-CC22-480A-A808-E09CF163C784}"/>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CC22-480A-A808-E09CF163C784}"/>
              </c:ext>
            </c:extLst>
          </c:dPt>
          <c:dPt>
            <c:idx val="3"/>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7-CC22-480A-A808-E09CF163C784}"/>
              </c:ext>
            </c:extLst>
          </c:dPt>
          <c:dPt>
            <c:idx val="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9-CC22-480A-A808-E09CF163C784}"/>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Calc!$A$83:$A$88</c:f>
              <c:strCache>
                <c:ptCount val="5"/>
                <c:pt idx="0">
                  <c:v>Cola</c:v>
                </c:pt>
                <c:pt idx="1">
                  <c:v>Diet Cola</c:v>
                </c:pt>
                <c:pt idx="2">
                  <c:v>Lemon lime</c:v>
                </c:pt>
                <c:pt idx="3">
                  <c:v>Orange</c:v>
                </c:pt>
                <c:pt idx="4">
                  <c:v>Root Beer</c:v>
                </c:pt>
              </c:strCache>
            </c:strRef>
          </c:cat>
          <c:val>
            <c:numRef>
              <c:f>Calc!$B$83:$B$88</c:f>
              <c:numCache>
                <c:formatCode>General</c:formatCode>
                <c:ptCount val="5"/>
                <c:pt idx="0">
                  <c:v>739</c:v>
                </c:pt>
                <c:pt idx="1">
                  <c:v>115</c:v>
                </c:pt>
                <c:pt idx="2">
                  <c:v>169</c:v>
                </c:pt>
                <c:pt idx="3">
                  <c:v>75</c:v>
                </c:pt>
                <c:pt idx="4">
                  <c:v>258</c:v>
                </c:pt>
              </c:numCache>
            </c:numRef>
          </c:val>
          <c:extLst>
            <c:ext xmlns:c16="http://schemas.microsoft.com/office/drawing/2014/chart" uri="{C3380CC4-5D6E-409C-BE32-E72D297353CC}">
              <c16:uniqueId val="{0000000A-9B12-4E2F-A789-64657A2B870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tx1"/>
        </a:gs>
        <a:gs pos="0">
          <a:schemeClr val="accent3">
            <a:lumMod val="97000"/>
            <a:lumOff val="3000"/>
          </a:schemeClr>
        </a:gs>
        <a:gs pos="100000">
          <a:schemeClr val="accent3">
            <a:lumMod val="60000"/>
            <a:lumOff val="40000"/>
          </a:schemeClr>
        </a:gs>
      </a:gsLst>
      <a:lin ang="16200000" scaled="1"/>
    </a:gradFill>
    <a:ln w="9525" cap="flat" cmpd="sng" algn="ctr">
      <a:solidFill>
        <a:schemeClr val="tx1">
          <a:lumMod val="85000"/>
          <a:lumOff val="15000"/>
        </a:schemeClr>
      </a:solid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[Manufacturing_Line_Productivity.xlsx]Calc!PivotTable7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baseline="0">
                <a:solidFill>
                  <a:schemeClr val="bg1"/>
                </a:solidFill>
              </a:rPr>
              <a:t>Production Time Vs</a:t>
            </a:r>
          </a:p>
          <a:p>
            <a:pPr>
              <a:defRPr b="1"/>
            </a:pPr>
            <a:r>
              <a:rPr lang="en-IN" b="1" baseline="0">
                <a:solidFill>
                  <a:schemeClr val="bg1"/>
                </a:solidFill>
              </a:rPr>
              <a:t> Downtime</a:t>
            </a:r>
            <a:endParaRPr lang="en-IN" b="1">
              <a:solidFill>
                <a:schemeClr val="bg1"/>
              </a:solidFill>
            </a:endParaRPr>
          </a:p>
        </c:rich>
      </c:tx>
      <c:layout>
        <c:manualLayout>
          <c:xMode val="edge"/>
          <c:yMode val="edge"/>
          <c:x val="0.29443727940679798"/>
          <c:y val="3.80719980454375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69E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Calc!$B$90</c:f>
              <c:strCache>
                <c:ptCount val="1"/>
                <c:pt idx="0">
                  <c:v>Sum of Production Time</c:v>
                </c:pt>
              </c:strCache>
            </c:strRef>
          </c:tx>
          <c:spPr>
            <a:solidFill>
              <a:srgbClr val="A69E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Calc!$A$91:$A$97</c:f>
              <c:strCache>
                <c:ptCount val="6"/>
                <c:pt idx="0">
                  <c:v>CO-600</c:v>
                </c:pt>
                <c:pt idx="1">
                  <c:v>CO-2L</c:v>
                </c:pt>
                <c:pt idx="2">
                  <c:v>RB-600</c:v>
                </c:pt>
                <c:pt idx="3">
                  <c:v>LE-600</c:v>
                </c:pt>
                <c:pt idx="4">
                  <c:v>DC-600</c:v>
                </c:pt>
                <c:pt idx="5">
                  <c:v>OR-600</c:v>
                </c:pt>
              </c:strCache>
            </c:strRef>
          </c:cat>
          <c:val>
            <c:numRef>
              <c:f>Calc!$B$91:$B$97</c:f>
              <c:numCache>
                <c:formatCode>General</c:formatCode>
                <c:ptCount val="6"/>
                <c:pt idx="0">
                  <c:v>2433</c:v>
                </c:pt>
                <c:pt idx="1">
                  <c:v>1519</c:v>
                </c:pt>
                <c:pt idx="2">
                  <c:v>1119</c:v>
                </c:pt>
                <c:pt idx="3">
                  <c:v>744</c:v>
                </c:pt>
                <c:pt idx="4">
                  <c:v>510</c:v>
                </c:pt>
                <c:pt idx="5">
                  <c:v>270</c:v>
                </c:pt>
              </c:numCache>
            </c:numRef>
          </c:val>
          <c:extLst>
            <c:ext xmlns:c16="http://schemas.microsoft.com/office/drawing/2014/chart" uri="{C3380CC4-5D6E-409C-BE32-E72D297353CC}">
              <c16:uniqueId val="{00000000-63D8-4747-9909-FC156224E1F9}"/>
            </c:ext>
          </c:extLst>
        </c:ser>
        <c:ser>
          <c:idx val="1"/>
          <c:order val="1"/>
          <c:tx>
            <c:strRef>
              <c:f>Calc!$C$90</c:f>
              <c:strCache>
                <c:ptCount val="1"/>
                <c:pt idx="0">
                  <c:v>Sum of Downtime</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Calc!$A$91:$A$97</c:f>
              <c:strCache>
                <c:ptCount val="6"/>
                <c:pt idx="0">
                  <c:v>CO-600</c:v>
                </c:pt>
                <c:pt idx="1">
                  <c:v>CO-2L</c:v>
                </c:pt>
                <c:pt idx="2">
                  <c:v>RB-600</c:v>
                </c:pt>
                <c:pt idx="3">
                  <c:v>LE-600</c:v>
                </c:pt>
                <c:pt idx="4">
                  <c:v>DC-600</c:v>
                </c:pt>
                <c:pt idx="5">
                  <c:v>OR-600</c:v>
                </c:pt>
              </c:strCache>
            </c:strRef>
          </c:cat>
          <c:val>
            <c:numRef>
              <c:f>Calc!$C$91:$C$97</c:f>
              <c:numCache>
                <c:formatCode>General</c:formatCode>
                <c:ptCount val="6"/>
                <c:pt idx="0">
                  <c:v>494</c:v>
                </c:pt>
                <c:pt idx="1">
                  <c:v>245</c:v>
                </c:pt>
                <c:pt idx="2">
                  <c:v>258</c:v>
                </c:pt>
                <c:pt idx="3">
                  <c:v>169</c:v>
                </c:pt>
                <c:pt idx="4">
                  <c:v>115</c:v>
                </c:pt>
                <c:pt idx="5">
                  <c:v>75</c:v>
                </c:pt>
              </c:numCache>
            </c:numRef>
          </c:val>
          <c:extLst>
            <c:ext xmlns:c16="http://schemas.microsoft.com/office/drawing/2014/chart" uri="{C3380CC4-5D6E-409C-BE32-E72D297353CC}">
              <c16:uniqueId val="{00000001-63D8-4747-9909-FC156224E1F9}"/>
            </c:ext>
          </c:extLst>
        </c:ser>
        <c:dLbls>
          <c:dLblPos val="outEnd"/>
          <c:showLegendKey val="0"/>
          <c:showVal val="1"/>
          <c:showCatName val="0"/>
          <c:showSerName val="0"/>
          <c:showPercent val="0"/>
          <c:showBubbleSize val="0"/>
        </c:dLbls>
        <c:gapWidth val="10"/>
        <c:overlap val="-27"/>
        <c:axId val="1534553792"/>
        <c:axId val="1534545152"/>
      </c:barChart>
      <c:catAx>
        <c:axId val="1534553792"/>
        <c:scaling>
          <c:orientation val="minMax"/>
        </c:scaling>
        <c:delete val="0"/>
        <c:axPos val="b"/>
        <c:numFmt formatCode="General" sourceLinked="1"/>
        <c:majorTickMark val="none"/>
        <c:minorTickMark val="none"/>
        <c:tickLblPos val="nextTo"/>
        <c:spPr>
          <a:solidFill>
            <a:schemeClr val="tx1">
              <a:lumMod val="85000"/>
              <a:lumOff val="1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4545152"/>
        <c:crosses val="autoZero"/>
        <c:auto val="1"/>
        <c:lblAlgn val="ctr"/>
        <c:lblOffset val="100"/>
        <c:noMultiLvlLbl val="0"/>
      </c:catAx>
      <c:valAx>
        <c:axId val="1534545152"/>
        <c:scaling>
          <c:orientation val="minMax"/>
        </c:scaling>
        <c:delete val="1"/>
        <c:axPos val="l"/>
        <c:numFmt formatCode="General" sourceLinked="1"/>
        <c:majorTickMark val="none"/>
        <c:minorTickMark val="none"/>
        <c:tickLblPos val="nextTo"/>
        <c:crossAx val="153455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tx1"/>
        </a:gs>
        <a:gs pos="0">
          <a:schemeClr val="accent3">
            <a:lumMod val="97000"/>
            <a:lumOff val="3000"/>
          </a:schemeClr>
        </a:gs>
        <a:gs pos="100000">
          <a:schemeClr val="accent3">
            <a:lumMod val="60000"/>
            <a:lumOff val="40000"/>
          </a:schemeClr>
        </a:gs>
      </a:gsLst>
      <a:lin ang="16200000" scaled="1"/>
    </a:gra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[Manufacturing_Line_Productivity.xlsx]Calc!PivotTable1</c:name>
    <c:fmtId val="3"/>
  </c:pivotSource>
  <c:chart>
    <c:title>
      <c:tx>
        <c:rich>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400">
                <a:solidFill>
                  <a:schemeClr val="bg1"/>
                </a:solidFill>
                <a:latin typeface="+mn-lt"/>
              </a:rPr>
              <a:t>Downtime Impact By Date</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A69EB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Calc!$B$108</c:f>
              <c:strCache>
                <c:ptCount val="1"/>
                <c:pt idx="0">
                  <c:v>Total</c:v>
                </c:pt>
              </c:strCache>
            </c:strRef>
          </c:tx>
          <c:spPr>
            <a:ln w="34925" cap="rnd">
              <a:solidFill>
                <a:srgbClr val="A69EB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Calc!$A$109:$A$115</c:f>
              <c:multiLvlStrCache>
                <c:ptCount val="4"/>
                <c:lvl>
                  <c:pt idx="0">
                    <c:v>29-08-2024</c:v>
                  </c:pt>
                  <c:pt idx="1">
                    <c:v>30-08-2024</c:v>
                  </c:pt>
                  <c:pt idx="2">
                    <c:v>31-08-2024</c:v>
                  </c:pt>
                  <c:pt idx="3">
                    <c:v>02-09-2024</c:v>
                  </c:pt>
                </c:lvl>
                <c:lvl>
                  <c:pt idx="0">
                    <c:v>Aug</c:v>
                  </c:pt>
                  <c:pt idx="3">
                    <c:v>Sep</c:v>
                  </c:pt>
                </c:lvl>
              </c:multiLvlStrCache>
            </c:multiLvlStrRef>
          </c:cat>
          <c:val>
            <c:numRef>
              <c:f>Calc!$B$109:$B$115</c:f>
              <c:numCache>
                <c:formatCode>General</c:formatCode>
                <c:ptCount val="4"/>
                <c:pt idx="0">
                  <c:v>1005</c:v>
                </c:pt>
                <c:pt idx="1">
                  <c:v>3056</c:v>
                </c:pt>
                <c:pt idx="2">
                  <c:v>1030</c:v>
                </c:pt>
                <c:pt idx="3">
                  <c:v>3208</c:v>
                </c:pt>
              </c:numCache>
            </c:numRef>
          </c:val>
          <c:smooth val="0"/>
          <c:extLst>
            <c:ext xmlns:c16="http://schemas.microsoft.com/office/drawing/2014/chart" uri="{C3380CC4-5D6E-409C-BE32-E72D297353CC}">
              <c16:uniqueId val="{00000001-4810-481B-B6BA-72D5F5231A8E}"/>
            </c:ext>
          </c:extLst>
        </c:ser>
        <c:dLbls>
          <c:dLblPos val="t"/>
          <c:showLegendKey val="0"/>
          <c:showVal val="1"/>
          <c:showCatName val="0"/>
          <c:showSerName val="0"/>
          <c:showPercent val="0"/>
          <c:showBubbleSize val="0"/>
        </c:dLbls>
        <c:marker val="1"/>
        <c:smooth val="0"/>
        <c:axId val="1516185791"/>
        <c:axId val="1516179071"/>
      </c:lineChart>
      <c:catAx>
        <c:axId val="1516185791"/>
        <c:scaling>
          <c:orientation val="minMax"/>
        </c:scaling>
        <c:delete val="0"/>
        <c:axPos val="b"/>
        <c:numFmt formatCode="General" sourceLinked="1"/>
        <c:majorTickMark val="none"/>
        <c:minorTickMark val="none"/>
        <c:tickLblPos val="nextTo"/>
        <c:spPr>
          <a:solidFill>
            <a:schemeClr val="tx1">
              <a:lumMod val="85000"/>
              <a:lumOff val="15000"/>
            </a:schemeClr>
          </a:solid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516179071"/>
        <c:crosses val="autoZero"/>
        <c:auto val="1"/>
        <c:lblAlgn val="ctr"/>
        <c:lblOffset val="100"/>
        <c:noMultiLvlLbl val="0"/>
      </c:catAx>
      <c:valAx>
        <c:axId val="1516179071"/>
        <c:scaling>
          <c:orientation val="minMax"/>
        </c:scaling>
        <c:delete val="1"/>
        <c:axPos val="l"/>
        <c:numFmt formatCode="General" sourceLinked="1"/>
        <c:majorTickMark val="none"/>
        <c:minorTickMark val="none"/>
        <c:tickLblPos val="nextTo"/>
        <c:crossAx val="151618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tx1"/>
        </a:gs>
        <a:gs pos="0">
          <a:schemeClr val="accent3">
            <a:lumMod val="97000"/>
            <a:lumOff val="3000"/>
          </a:schemeClr>
        </a:gs>
        <a:gs pos="100000">
          <a:schemeClr val="accent3">
            <a:lumMod val="60000"/>
            <a:lumOff val="40000"/>
          </a:schemeClr>
        </a:gs>
      </a:gsLst>
      <a:lin ang="16200000" scaled="1"/>
      <a:tileRect/>
    </a:gradFill>
    <a:ln>
      <a:solidFill>
        <a:schemeClr val="tx1">
          <a:lumMod val="85000"/>
          <a:lumOff val="1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371475</xdr:colOff>
      <xdr:row>47</xdr:row>
      <xdr:rowOff>147637</xdr:rowOff>
    </xdr:from>
    <xdr:to>
      <xdr:col>9</xdr:col>
      <xdr:colOff>133350</xdr:colOff>
      <xdr:row>62</xdr:row>
      <xdr:rowOff>33337</xdr:rowOff>
    </xdr:to>
    <xdr:graphicFrame macro="">
      <xdr:nvGraphicFramePr>
        <xdr:cNvPr id="2" name="Chart 1">
          <a:extLst>
            <a:ext uri="{FF2B5EF4-FFF2-40B4-BE49-F238E27FC236}">
              <a16:creationId xmlns:a16="http://schemas.microsoft.com/office/drawing/2014/main" id="{7CB11711-7AAA-7743-2C33-D1D5D7F31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214312</xdr:colOff>
      <xdr:row>64</xdr:row>
      <xdr:rowOff>33337</xdr:rowOff>
    </xdr:from>
    <xdr:to>
      <xdr:col>8</xdr:col>
      <xdr:colOff>585787</xdr:colOff>
      <xdr:row>78</xdr:row>
      <xdr:rowOff>109537</xdr:rowOff>
    </xdr:to>
    <xdr:graphicFrame macro="">
      <xdr:nvGraphicFramePr>
        <xdr:cNvPr id="3" name="Chart 2">
          <a:extLst>
            <a:ext uri="{FF2B5EF4-FFF2-40B4-BE49-F238E27FC236}">
              <a16:creationId xmlns:a16="http://schemas.microsoft.com/office/drawing/2014/main" id="{D788F9E9-140B-B0C8-A2F7-5323FF1F5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74</xdr:row>
      <xdr:rowOff>133350</xdr:rowOff>
    </xdr:from>
    <xdr:to>
      <xdr:col>7</xdr:col>
      <xdr:colOff>257175</xdr:colOff>
      <xdr:row>84</xdr:row>
      <xdr:rowOff>123826</xdr:rowOff>
    </xdr:to>
    <xdr:graphicFrame macro="">
      <xdr:nvGraphicFramePr>
        <xdr:cNvPr id="4" name="Chart 3">
          <a:extLst>
            <a:ext uri="{FF2B5EF4-FFF2-40B4-BE49-F238E27FC236}">
              <a16:creationId xmlns:a16="http://schemas.microsoft.com/office/drawing/2014/main" id="{D168B5A1-2D54-5FF9-6E11-B0112701C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842962</xdr:colOff>
      <xdr:row>73</xdr:row>
      <xdr:rowOff>166687</xdr:rowOff>
    </xdr:from>
    <xdr:to>
      <xdr:col>9</xdr:col>
      <xdr:colOff>604837</xdr:colOff>
      <xdr:row>88</xdr:row>
      <xdr:rowOff>52387</xdr:rowOff>
    </xdr:to>
    <xdr:graphicFrame macro="">
      <xdr:nvGraphicFramePr>
        <xdr:cNvPr id="5" name="Chart 4">
          <a:extLst>
            <a:ext uri="{FF2B5EF4-FFF2-40B4-BE49-F238E27FC236}">
              <a16:creationId xmlns:a16="http://schemas.microsoft.com/office/drawing/2014/main" id="{8487188A-A3B7-89DE-230F-50D9D5178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419100</xdr:colOff>
      <xdr:row>79</xdr:row>
      <xdr:rowOff>33337</xdr:rowOff>
    </xdr:from>
    <xdr:to>
      <xdr:col>11</xdr:col>
      <xdr:colOff>114300</xdr:colOff>
      <xdr:row>93</xdr:row>
      <xdr:rowOff>109537</xdr:rowOff>
    </xdr:to>
    <xdr:graphicFrame macro="">
      <xdr:nvGraphicFramePr>
        <xdr:cNvPr id="6" name="Chart 5">
          <a:extLst>
            <a:ext uri="{FF2B5EF4-FFF2-40B4-BE49-F238E27FC236}">
              <a16:creationId xmlns:a16="http://schemas.microsoft.com/office/drawing/2014/main" id="{38F681F4-11D2-D7FA-314E-C31E21743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333374</xdr:colOff>
      <xdr:row>106</xdr:row>
      <xdr:rowOff>38099</xdr:rowOff>
    </xdr:from>
    <xdr:to>
      <xdr:col>10</xdr:col>
      <xdr:colOff>495299</xdr:colOff>
      <xdr:row>116</xdr:row>
      <xdr:rowOff>90486</xdr:rowOff>
    </xdr:to>
    <xdr:graphicFrame macro="">
      <xdr:nvGraphicFramePr>
        <xdr:cNvPr id="7" name="Chart 6">
          <a:extLst>
            <a:ext uri="{FF2B5EF4-FFF2-40B4-BE49-F238E27FC236}">
              <a16:creationId xmlns:a16="http://schemas.microsoft.com/office/drawing/2014/main" id="{D3892DE9-2491-7E35-C97F-97108CC71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3</xdr:row>
      <xdr:rowOff>95250</xdr:rowOff>
    </xdr:from>
    <xdr:to>
      <xdr:col>2</xdr:col>
      <xdr:colOff>114900</xdr:colOff>
      <xdr:row>7</xdr:row>
      <xdr:rowOff>28575</xdr:rowOff>
    </xdr:to>
    <xdr:sp macro="" textlink="">
      <xdr:nvSpPr>
        <xdr:cNvPr id="2" name="Rectangle: Rounded Corners 1">
          <a:extLst>
            <a:ext uri="{FF2B5EF4-FFF2-40B4-BE49-F238E27FC236}">
              <a16:creationId xmlns:a16="http://schemas.microsoft.com/office/drawing/2014/main" id="{85202935-1883-249A-4C38-4A27523CECF8}"/>
            </a:ext>
          </a:extLst>
        </xdr:cNvPr>
        <xdr:cNvSpPr/>
      </xdr:nvSpPr>
      <xdr:spPr>
        <a:xfrm>
          <a:off x="38100" y="666750"/>
          <a:ext cx="1296000" cy="695325"/>
        </a:xfrm>
        <a:prstGeom prst="roundRect">
          <a:avLst/>
        </a:prstGeom>
        <a:gradFill>
          <a:gsLst>
            <a:gs pos="100000">
              <a:schemeClr val="tx1"/>
            </a:gs>
            <a:gs pos="0">
              <a:schemeClr val="accent3">
                <a:lumMod val="97000"/>
                <a:lumOff val="3000"/>
              </a:schemeClr>
            </a:gs>
            <a:gs pos="100000">
              <a:schemeClr val="accent3">
                <a:lumMod val="60000"/>
                <a:lumOff val="40000"/>
              </a:schemeClr>
            </a:gs>
          </a:gsLst>
          <a:lin ang="16200000" scaled="1"/>
        </a:gradFill>
        <a:ln>
          <a:solidFill>
            <a:schemeClr val="tx1">
              <a:lumMod val="85000"/>
              <a:lumOff val="15000"/>
            </a:schemeClr>
          </a:solidFill>
        </a:ln>
        <a:effectLst>
          <a:outerShdw blurRad="50800" dist="50800" dir="5400000" algn="ctr" rotWithShape="0">
            <a:schemeClr val="tx1">
              <a:lumMod val="95000"/>
              <a:lumOff val="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76200</xdr:colOff>
      <xdr:row>3</xdr:row>
      <xdr:rowOff>85481</xdr:rowOff>
    </xdr:from>
    <xdr:to>
      <xdr:col>2</xdr:col>
      <xdr:colOff>48846</xdr:colOff>
      <xdr:row>6</xdr:row>
      <xdr:rowOff>170961</xdr:rowOff>
    </xdr:to>
    <xdr:sp macro="" textlink="Calc!C2">
      <xdr:nvSpPr>
        <xdr:cNvPr id="3" name="TextBox 2">
          <a:extLst>
            <a:ext uri="{FF2B5EF4-FFF2-40B4-BE49-F238E27FC236}">
              <a16:creationId xmlns:a16="http://schemas.microsoft.com/office/drawing/2014/main" id="{074757D9-A7FD-650A-8E44-9450DB1D0C5C}"/>
            </a:ext>
          </a:extLst>
        </xdr:cNvPr>
        <xdr:cNvSpPr txBox="1"/>
      </xdr:nvSpPr>
      <xdr:spPr>
        <a:xfrm>
          <a:off x="76200" y="671635"/>
          <a:ext cx="1193800" cy="67163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050" b="1">
              <a:solidFill>
                <a:schemeClr val="lt1"/>
              </a:solidFill>
              <a:latin typeface="+mn-lt"/>
              <a:ea typeface="+mn-ea"/>
              <a:cs typeface="+mn-cs"/>
            </a:rPr>
            <a:t>Total Downtime(Hrs)</a:t>
          </a:r>
          <a:br>
            <a:rPr lang="en-US" sz="1050" b="1">
              <a:solidFill>
                <a:schemeClr val="lt1"/>
              </a:solidFill>
              <a:latin typeface="+mn-lt"/>
              <a:ea typeface="+mn-ea"/>
              <a:cs typeface="+mn-cs"/>
            </a:rPr>
          </a:br>
          <a:fld id="{072CCBE2-8DC6-469A-A2F4-4BE3292E4F73}" type="TxLink">
            <a:rPr lang="en-US" sz="1050" b="1">
              <a:solidFill>
                <a:schemeClr val="lt1"/>
              </a:solidFill>
              <a:latin typeface="+mn-lt"/>
              <a:ea typeface="+mn-ea"/>
              <a:cs typeface="+mn-cs"/>
            </a:rPr>
            <a:pPr marL="0" indent="0" algn="ctr"/>
            <a:t>22.6</a:t>
          </a:fld>
          <a:endParaRPr lang="en-US" sz="1050" b="1">
            <a:solidFill>
              <a:schemeClr val="lt1"/>
            </a:solidFill>
            <a:latin typeface="+mn-lt"/>
            <a:ea typeface="+mn-ea"/>
            <a:cs typeface="+mn-cs"/>
          </a:endParaRPr>
        </a:p>
      </xdr:txBody>
    </xdr:sp>
    <xdr:clientData/>
  </xdr:twoCellAnchor>
  <xdr:twoCellAnchor>
    <xdr:from>
      <xdr:col>2</xdr:col>
      <xdr:colOff>213544</xdr:colOff>
      <xdr:row>3</xdr:row>
      <xdr:rowOff>107461</xdr:rowOff>
    </xdr:from>
    <xdr:to>
      <xdr:col>4</xdr:col>
      <xdr:colOff>290344</xdr:colOff>
      <xdr:row>7</xdr:row>
      <xdr:rowOff>40786</xdr:rowOff>
    </xdr:to>
    <xdr:sp macro="" textlink="">
      <xdr:nvSpPr>
        <xdr:cNvPr id="4" name="Rectangle: Rounded Corners 3">
          <a:extLst>
            <a:ext uri="{FF2B5EF4-FFF2-40B4-BE49-F238E27FC236}">
              <a16:creationId xmlns:a16="http://schemas.microsoft.com/office/drawing/2014/main" id="{88B327F1-AD74-469A-A68F-5C374904C501}"/>
            </a:ext>
          </a:extLst>
        </xdr:cNvPr>
        <xdr:cNvSpPr/>
      </xdr:nvSpPr>
      <xdr:spPr>
        <a:xfrm>
          <a:off x="1434698" y="693615"/>
          <a:ext cx="1297954" cy="714863"/>
        </a:xfrm>
        <a:prstGeom prst="roundRect">
          <a:avLst/>
        </a:prstGeom>
        <a:gradFill>
          <a:gsLst>
            <a:gs pos="100000">
              <a:schemeClr val="tx1"/>
            </a:gs>
            <a:gs pos="0">
              <a:schemeClr val="accent3">
                <a:lumMod val="97000"/>
                <a:lumOff val="3000"/>
              </a:schemeClr>
            </a:gs>
            <a:gs pos="100000">
              <a:schemeClr val="accent3">
                <a:lumMod val="60000"/>
                <a:lumOff val="40000"/>
              </a:schemeClr>
            </a:gs>
          </a:gsLst>
          <a:lin ang="16200000" scaled="1"/>
        </a:gra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280865</xdr:colOff>
      <xdr:row>3</xdr:row>
      <xdr:rowOff>122115</xdr:rowOff>
    </xdr:from>
    <xdr:to>
      <xdr:col>4</xdr:col>
      <xdr:colOff>233240</xdr:colOff>
      <xdr:row>7</xdr:row>
      <xdr:rowOff>0</xdr:rowOff>
    </xdr:to>
    <xdr:sp macro="" textlink="Calc!C3">
      <xdr:nvSpPr>
        <xdr:cNvPr id="5" name="TextBox 4">
          <a:extLst>
            <a:ext uri="{FF2B5EF4-FFF2-40B4-BE49-F238E27FC236}">
              <a16:creationId xmlns:a16="http://schemas.microsoft.com/office/drawing/2014/main" id="{580DD7DC-CC34-4566-A7C2-A04DEA4CD459}"/>
            </a:ext>
          </a:extLst>
        </xdr:cNvPr>
        <xdr:cNvSpPr txBox="1"/>
      </xdr:nvSpPr>
      <xdr:spPr>
        <a:xfrm>
          <a:off x="1502019" y="708269"/>
          <a:ext cx="1173529" cy="65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i="0" u="none" strike="noStrike">
              <a:solidFill>
                <a:schemeClr val="bg1"/>
              </a:solidFill>
              <a:latin typeface="Aptos Narrow"/>
            </a:rPr>
            <a:t>Avg Downtime(Mins)</a:t>
          </a:r>
          <a:br>
            <a:rPr lang="en-US" sz="1050" b="1" i="0" u="none" strike="noStrike">
              <a:solidFill>
                <a:schemeClr val="bg1"/>
              </a:solidFill>
              <a:latin typeface="Aptos Narrow"/>
            </a:rPr>
          </a:br>
          <a:fld id="{E1B61D76-1978-4692-839E-C7476AEE579D}" type="TxLink">
            <a:rPr lang="en-US" sz="1050" b="1" i="0" u="none" strike="noStrike">
              <a:solidFill>
                <a:schemeClr val="bg1"/>
              </a:solidFill>
              <a:latin typeface="Aptos Narrow"/>
            </a:rPr>
            <a:pPr algn="ctr"/>
            <a:t>22.98</a:t>
          </a:fld>
          <a:endParaRPr lang="en-US" sz="1050" b="1">
            <a:solidFill>
              <a:schemeClr val="bg1"/>
            </a:solidFill>
          </a:endParaRPr>
        </a:p>
      </xdr:txBody>
    </xdr:sp>
    <xdr:clientData/>
  </xdr:twoCellAnchor>
  <xdr:twoCellAnchor>
    <xdr:from>
      <xdr:col>4</xdr:col>
      <xdr:colOff>388988</xdr:colOff>
      <xdr:row>3</xdr:row>
      <xdr:rowOff>85726</xdr:rowOff>
    </xdr:from>
    <xdr:to>
      <xdr:col>6</xdr:col>
      <xdr:colOff>465788</xdr:colOff>
      <xdr:row>7</xdr:row>
      <xdr:rowOff>19051</xdr:rowOff>
    </xdr:to>
    <xdr:sp macro="" textlink="">
      <xdr:nvSpPr>
        <xdr:cNvPr id="6" name="Rectangle: Rounded Corners 5">
          <a:extLst>
            <a:ext uri="{FF2B5EF4-FFF2-40B4-BE49-F238E27FC236}">
              <a16:creationId xmlns:a16="http://schemas.microsoft.com/office/drawing/2014/main" id="{01130B0B-9D67-4EBE-A102-1B011D9C3600}"/>
            </a:ext>
          </a:extLst>
        </xdr:cNvPr>
        <xdr:cNvSpPr/>
      </xdr:nvSpPr>
      <xdr:spPr>
        <a:xfrm>
          <a:off x="2831296" y="671880"/>
          <a:ext cx="1297954" cy="714863"/>
        </a:xfrm>
        <a:prstGeom prst="roundRect">
          <a:avLst/>
        </a:prstGeom>
        <a:gradFill>
          <a:gsLst>
            <a:gs pos="100000">
              <a:schemeClr val="tx1"/>
            </a:gs>
            <a:gs pos="0">
              <a:schemeClr val="accent3">
                <a:lumMod val="97000"/>
                <a:lumOff val="3000"/>
              </a:schemeClr>
            </a:gs>
            <a:gs pos="100000">
              <a:schemeClr val="accent3">
                <a:lumMod val="60000"/>
                <a:lumOff val="40000"/>
              </a:schemeClr>
            </a:gs>
          </a:gsLst>
          <a:lin ang="16200000" scaled="1"/>
        </a:gra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509361</xdr:colOff>
      <xdr:row>3</xdr:row>
      <xdr:rowOff>141060</xdr:rowOff>
    </xdr:from>
    <xdr:to>
      <xdr:col>6</xdr:col>
      <xdr:colOff>452211</xdr:colOff>
      <xdr:row>6</xdr:row>
      <xdr:rowOff>141060</xdr:rowOff>
    </xdr:to>
    <xdr:sp macro="" textlink="Calc!C4">
      <xdr:nvSpPr>
        <xdr:cNvPr id="7" name="TextBox 6">
          <a:extLst>
            <a:ext uri="{FF2B5EF4-FFF2-40B4-BE49-F238E27FC236}">
              <a16:creationId xmlns:a16="http://schemas.microsoft.com/office/drawing/2014/main" id="{671FAB2A-89C7-441B-AC9D-35144185C840}"/>
            </a:ext>
          </a:extLst>
        </xdr:cNvPr>
        <xdr:cNvSpPr txBox="1"/>
      </xdr:nvSpPr>
      <xdr:spPr>
        <a:xfrm>
          <a:off x="2958647" y="719364"/>
          <a:ext cx="1167493" cy="578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i="0" u="none" strike="noStrike">
              <a:solidFill>
                <a:schemeClr val="bg1"/>
              </a:solidFill>
              <a:latin typeface="Aptos Narrow"/>
            </a:rPr>
            <a:t>Total Batches</a:t>
          </a:r>
          <a:br>
            <a:rPr lang="en-US" sz="1050" b="1" i="0" u="none" strike="noStrike">
              <a:solidFill>
                <a:schemeClr val="bg1"/>
              </a:solidFill>
              <a:latin typeface="Aptos Narrow"/>
            </a:rPr>
          </a:br>
          <a:fld id="{AE222A8C-31E8-4B3A-AAD4-F4844FA9FC32}" type="TxLink">
            <a:rPr lang="en-US" sz="1050" b="1" i="0" u="none" strike="noStrike">
              <a:solidFill>
                <a:schemeClr val="bg1"/>
              </a:solidFill>
              <a:latin typeface="Aptos Narrow"/>
            </a:rPr>
            <a:pPr algn="ctr"/>
            <a:t>34</a:t>
          </a:fld>
          <a:endParaRPr lang="en-US" sz="1050" b="1">
            <a:solidFill>
              <a:schemeClr val="bg1"/>
            </a:solidFill>
          </a:endParaRPr>
        </a:p>
      </xdr:txBody>
    </xdr:sp>
    <xdr:clientData/>
  </xdr:twoCellAnchor>
  <xdr:twoCellAnchor>
    <xdr:from>
      <xdr:col>6</xdr:col>
      <xdr:colOff>564432</xdr:colOff>
      <xdr:row>3</xdr:row>
      <xdr:rowOff>97065</xdr:rowOff>
    </xdr:from>
    <xdr:to>
      <xdr:col>9</xdr:col>
      <xdr:colOff>64910</xdr:colOff>
      <xdr:row>7</xdr:row>
      <xdr:rowOff>30390</xdr:rowOff>
    </xdr:to>
    <xdr:sp macro="" textlink="">
      <xdr:nvSpPr>
        <xdr:cNvPr id="8" name="Rectangle: Rounded Corners 7">
          <a:extLst>
            <a:ext uri="{FF2B5EF4-FFF2-40B4-BE49-F238E27FC236}">
              <a16:creationId xmlns:a16="http://schemas.microsoft.com/office/drawing/2014/main" id="{B4C9A0BC-8C25-4406-BE42-924B0A98CB78}"/>
            </a:ext>
          </a:extLst>
        </xdr:cNvPr>
        <xdr:cNvSpPr/>
      </xdr:nvSpPr>
      <xdr:spPr>
        <a:xfrm>
          <a:off x="4227894" y="683219"/>
          <a:ext cx="1332208" cy="714863"/>
        </a:xfrm>
        <a:prstGeom prst="roundRect">
          <a:avLst/>
        </a:prstGeom>
        <a:gradFill>
          <a:gsLst>
            <a:gs pos="100000">
              <a:schemeClr val="tx1"/>
            </a:gs>
            <a:gs pos="0">
              <a:schemeClr val="accent3">
                <a:lumMod val="97000"/>
                <a:lumOff val="3000"/>
              </a:schemeClr>
            </a:gs>
            <a:gs pos="100000">
              <a:schemeClr val="accent3">
                <a:lumMod val="60000"/>
                <a:lumOff val="40000"/>
              </a:schemeClr>
            </a:gs>
          </a:gsLst>
          <a:lin ang="16200000" scaled="1"/>
        </a:gra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562428</xdr:colOff>
      <xdr:row>3</xdr:row>
      <xdr:rowOff>125637</xdr:rowOff>
    </xdr:from>
    <xdr:to>
      <xdr:col>9</xdr:col>
      <xdr:colOff>112032</xdr:colOff>
      <xdr:row>6</xdr:row>
      <xdr:rowOff>154214</xdr:rowOff>
    </xdr:to>
    <xdr:sp macro="" textlink="Calc!C5">
      <xdr:nvSpPr>
        <xdr:cNvPr id="9" name="TextBox 8">
          <a:extLst>
            <a:ext uri="{FF2B5EF4-FFF2-40B4-BE49-F238E27FC236}">
              <a16:creationId xmlns:a16="http://schemas.microsoft.com/office/drawing/2014/main" id="{ACE971C4-A9D0-4239-8385-C84230E0B83F}"/>
            </a:ext>
          </a:extLst>
        </xdr:cNvPr>
        <xdr:cNvSpPr txBox="1"/>
      </xdr:nvSpPr>
      <xdr:spPr>
        <a:xfrm>
          <a:off x="4236357" y="703941"/>
          <a:ext cx="1386568" cy="606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i="0" u="none" strike="noStrike">
              <a:solidFill>
                <a:schemeClr val="bg1"/>
              </a:solidFill>
              <a:latin typeface="Aptos Narrow"/>
            </a:rPr>
            <a:t>Max Downtime</a:t>
          </a:r>
          <a:r>
            <a:rPr lang="en-US" sz="1050" b="1" i="0" u="none" strike="noStrike" baseline="0">
              <a:solidFill>
                <a:schemeClr val="bg1"/>
              </a:solidFill>
              <a:latin typeface="Aptos Narrow"/>
            </a:rPr>
            <a:t> </a:t>
          </a:r>
          <a:r>
            <a:rPr lang="en-US" sz="1050" b="1" i="0" u="none" strike="noStrike">
              <a:solidFill>
                <a:schemeClr val="bg1"/>
              </a:solidFill>
              <a:latin typeface="Aptos Narrow"/>
            </a:rPr>
            <a:t>Impact</a:t>
          </a:r>
          <a:br>
            <a:rPr lang="en-US" sz="1050" b="1" i="0" u="none" strike="noStrike">
              <a:solidFill>
                <a:schemeClr val="bg1"/>
              </a:solidFill>
              <a:latin typeface="Aptos Narrow"/>
            </a:rPr>
          </a:br>
          <a:fld id="{EBF5744E-DEB2-43DD-9257-74862BEB3F86}" type="TxLink">
            <a:rPr lang="en-US" sz="1050" b="1" i="0" u="none" strike="noStrike">
              <a:solidFill>
                <a:schemeClr val="bg1"/>
              </a:solidFill>
              <a:latin typeface="Aptos Narrow"/>
            </a:rPr>
            <a:pPr algn="ctr"/>
            <a:t>360</a:t>
          </a:fld>
          <a:endParaRPr lang="en-US" sz="1050" b="1">
            <a:solidFill>
              <a:schemeClr val="bg1"/>
            </a:solidFill>
          </a:endParaRPr>
        </a:p>
      </xdr:txBody>
    </xdr:sp>
    <xdr:clientData/>
  </xdr:twoCellAnchor>
  <xdr:twoCellAnchor>
    <xdr:from>
      <xdr:col>9</xdr:col>
      <xdr:colOff>163554</xdr:colOff>
      <xdr:row>3</xdr:row>
      <xdr:rowOff>85725</xdr:rowOff>
    </xdr:from>
    <xdr:to>
      <xdr:col>11</xdr:col>
      <xdr:colOff>240354</xdr:colOff>
      <xdr:row>7</xdr:row>
      <xdr:rowOff>19050</xdr:rowOff>
    </xdr:to>
    <xdr:sp macro="" textlink="">
      <xdr:nvSpPr>
        <xdr:cNvPr id="10" name="Rectangle: Rounded Corners 9">
          <a:extLst>
            <a:ext uri="{FF2B5EF4-FFF2-40B4-BE49-F238E27FC236}">
              <a16:creationId xmlns:a16="http://schemas.microsoft.com/office/drawing/2014/main" id="{430A4ABC-6B65-48DA-B95D-40A15D43BBFE}"/>
            </a:ext>
          </a:extLst>
        </xdr:cNvPr>
        <xdr:cNvSpPr/>
      </xdr:nvSpPr>
      <xdr:spPr>
        <a:xfrm>
          <a:off x="5658746" y="671879"/>
          <a:ext cx="1297954" cy="714863"/>
        </a:xfrm>
        <a:prstGeom prst="roundRect">
          <a:avLst/>
        </a:prstGeom>
        <a:gradFill>
          <a:gsLst>
            <a:gs pos="100000">
              <a:schemeClr val="tx1"/>
            </a:gs>
            <a:gs pos="0">
              <a:schemeClr val="accent3">
                <a:lumMod val="97000"/>
                <a:lumOff val="3000"/>
              </a:schemeClr>
            </a:gs>
            <a:gs pos="100000">
              <a:schemeClr val="accent3">
                <a:lumMod val="60000"/>
                <a:lumOff val="40000"/>
              </a:schemeClr>
            </a:gs>
          </a:gsLst>
          <a:lin ang="16200000" scaled="1"/>
        </a:gra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248104</xdr:colOff>
      <xdr:row>3</xdr:row>
      <xdr:rowOff>112485</xdr:rowOff>
    </xdr:from>
    <xdr:to>
      <xdr:col>11</xdr:col>
      <xdr:colOff>200480</xdr:colOff>
      <xdr:row>6</xdr:row>
      <xdr:rowOff>141060</xdr:rowOff>
    </xdr:to>
    <xdr:sp macro="" textlink="Calc!C6">
      <xdr:nvSpPr>
        <xdr:cNvPr id="11" name="TextBox 10">
          <a:extLst>
            <a:ext uri="{FF2B5EF4-FFF2-40B4-BE49-F238E27FC236}">
              <a16:creationId xmlns:a16="http://schemas.microsoft.com/office/drawing/2014/main" id="{407501F0-8CB2-49B5-901D-9059B76A8D20}"/>
            </a:ext>
          </a:extLst>
        </xdr:cNvPr>
        <xdr:cNvSpPr txBox="1"/>
      </xdr:nvSpPr>
      <xdr:spPr>
        <a:xfrm>
          <a:off x="5758997" y="690789"/>
          <a:ext cx="1177019" cy="606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i="0" u="none" strike="noStrike">
              <a:solidFill>
                <a:schemeClr val="bg1"/>
              </a:solidFill>
              <a:latin typeface="Aptos Narrow"/>
            </a:rPr>
            <a:t>Total Production Time(Hrs)</a:t>
          </a:r>
          <a:br>
            <a:rPr lang="en-US" sz="1050" b="1" i="0" u="none" strike="noStrike">
              <a:solidFill>
                <a:schemeClr val="bg1"/>
              </a:solidFill>
              <a:latin typeface="Aptos Narrow"/>
            </a:rPr>
          </a:br>
          <a:fld id="{E4813B1A-344A-477D-A717-A0ED32F49A9C}" type="TxLink">
            <a:rPr lang="en-US" sz="1050" b="1" i="0" u="none" strike="noStrike">
              <a:solidFill>
                <a:schemeClr val="bg1"/>
              </a:solidFill>
              <a:latin typeface="Aptos Narrow"/>
            </a:rPr>
            <a:pPr algn="ctr"/>
            <a:t>110</a:t>
          </a:fld>
          <a:endParaRPr lang="en-US" sz="1050" b="1">
            <a:solidFill>
              <a:schemeClr val="bg1"/>
            </a:solidFill>
          </a:endParaRPr>
        </a:p>
      </xdr:txBody>
    </xdr:sp>
    <xdr:clientData/>
  </xdr:twoCellAnchor>
  <xdr:twoCellAnchor>
    <xdr:from>
      <xdr:col>11</xdr:col>
      <xdr:colOff>338998</xdr:colOff>
      <xdr:row>3</xdr:row>
      <xdr:rowOff>87539</xdr:rowOff>
    </xdr:from>
    <xdr:to>
      <xdr:col>13</xdr:col>
      <xdr:colOff>415798</xdr:colOff>
      <xdr:row>7</xdr:row>
      <xdr:rowOff>20864</xdr:rowOff>
    </xdr:to>
    <xdr:sp macro="" textlink="">
      <xdr:nvSpPr>
        <xdr:cNvPr id="12" name="Rectangle: Rounded Corners 11">
          <a:extLst>
            <a:ext uri="{FF2B5EF4-FFF2-40B4-BE49-F238E27FC236}">
              <a16:creationId xmlns:a16="http://schemas.microsoft.com/office/drawing/2014/main" id="{4F6419B4-CFE2-4A93-AE49-3E417FCF446A}"/>
            </a:ext>
          </a:extLst>
        </xdr:cNvPr>
        <xdr:cNvSpPr/>
      </xdr:nvSpPr>
      <xdr:spPr>
        <a:xfrm>
          <a:off x="7055344" y="673693"/>
          <a:ext cx="1297954" cy="714863"/>
        </a:xfrm>
        <a:prstGeom prst="roundRect">
          <a:avLst/>
        </a:prstGeom>
        <a:gradFill>
          <a:gsLst>
            <a:gs pos="100000">
              <a:schemeClr val="tx1"/>
            </a:gs>
            <a:gs pos="0">
              <a:schemeClr val="accent3">
                <a:lumMod val="97000"/>
                <a:lumOff val="3000"/>
              </a:schemeClr>
            </a:gs>
            <a:gs pos="100000">
              <a:schemeClr val="accent3">
                <a:lumMod val="60000"/>
                <a:lumOff val="40000"/>
              </a:schemeClr>
            </a:gs>
          </a:gsLst>
          <a:lin ang="16200000" scaled="1"/>
        </a:gra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385535</xdr:colOff>
      <xdr:row>3</xdr:row>
      <xdr:rowOff>129721</xdr:rowOff>
    </xdr:from>
    <xdr:to>
      <xdr:col>13</xdr:col>
      <xdr:colOff>347436</xdr:colOff>
      <xdr:row>6</xdr:row>
      <xdr:rowOff>158296</xdr:rowOff>
    </xdr:to>
    <xdr:sp macro="" textlink="Calc!C7">
      <xdr:nvSpPr>
        <xdr:cNvPr id="13" name="TextBox 12">
          <a:extLst>
            <a:ext uri="{FF2B5EF4-FFF2-40B4-BE49-F238E27FC236}">
              <a16:creationId xmlns:a16="http://schemas.microsoft.com/office/drawing/2014/main" id="{7913EE21-CB9F-4AF3-999E-647394E77A84}"/>
            </a:ext>
          </a:extLst>
        </xdr:cNvPr>
        <xdr:cNvSpPr txBox="1"/>
      </xdr:nvSpPr>
      <xdr:spPr>
        <a:xfrm>
          <a:off x="7121071" y="708025"/>
          <a:ext cx="1186544" cy="606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i="0" u="none" strike="noStrike">
              <a:solidFill>
                <a:schemeClr val="bg1"/>
              </a:solidFill>
              <a:latin typeface="Aptos Narrow"/>
            </a:rPr>
            <a:t>Efficiency</a:t>
          </a:r>
          <a:br>
            <a:rPr lang="en-US" sz="1050" b="1" i="0" u="none" strike="noStrike">
              <a:solidFill>
                <a:schemeClr val="bg1"/>
              </a:solidFill>
              <a:latin typeface="Aptos Narrow"/>
            </a:rPr>
          </a:br>
          <a:fld id="{F4BCFEBE-2F5C-4EB0-8DD0-94BF72ECFC47}" type="TxLink">
            <a:rPr lang="en-US" sz="1050" b="1" i="0" u="none" strike="noStrike">
              <a:solidFill>
                <a:schemeClr val="bg1"/>
              </a:solidFill>
              <a:latin typeface="Aptos Narrow"/>
            </a:rPr>
            <a:pPr algn="ctr"/>
            <a:t>79.44%</a:t>
          </a:fld>
          <a:endParaRPr lang="en-US" sz="1050" b="1">
            <a:solidFill>
              <a:schemeClr val="bg1"/>
            </a:solidFill>
          </a:endParaRPr>
        </a:p>
      </xdr:txBody>
    </xdr:sp>
    <xdr:clientData/>
  </xdr:twoCellAnchor>
  <xdr:twoCellAnchor>
    <xdr:from>
      <xdr:col>13</xdr:col>
      <xdr:colOff>514442</xdr:colOff>
      <xdr:row>3</xdr:row>
      <xdr:rowOff>76200</xdr:rowOff>
    </xdr:from>
    <xdr:to>
      <xdr:col>15</xdr:col>
      <xdr:colOff>589497</xdr:colOff>
      <xdr:row>7</xdr:row>
      <xdr:rowOff>9525</xdr:rowOff>
    </xdr:to>
    <xdr:sp macro="" textlink="">
      <xdr:nvSpPr>
        <xdr:cNvPr id="15" name="Rectangle: Rounded Corners 14">
          <a:extLst>
            <a:ext uri="{FF2B5EF4-FFF2-40B4-BE49-F238E27FC236}">
              <a16:creationId xmlns:a16="http://schemas.microsoft.com/office/drawing/2014/main" id="{A17401EE-3E61-4051-B233-F3FADC229F83}"/>
            </a:ext>
          </a:extLst>
        </xdr:cNvPr>
        <xdr:cNvSpPr/>
      </xdr:nvSpPr>
      <xdr:spPr>
        <a:xfrm>
          <a:off x="8451942" y="662354"/>
          <a:ext cx="1296209" cy="714863"/>
        </a:xfrm>
        <a:prstGeom prst="roundRect">
          <a:avLst/>
        </a:prstGeom>
        <a:gradFill>
          <a:gsLst>
            <a:gs pos="100000">
              <a:schemeClr val="tx1"/>
            </a:gs>
            <a:gs pos="0">
              <a:schemeClr val="accent3">
                <a:lumMod val="97000"/>
                <a:lumOff val="3000"/>
              </a:schemeClr>
            </a:gs>
            <a:gs pos="100000">
              <a:schemeClr val="accent3">
                <a:lumMod val="60000"/>
                <a:lumOff val="40000"/>
              </a:schemeClr>
            </a:gs>
          </a:gsLst>
          <a:lin ang="16200000" scaled="1"/>
        </a:gra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596445</xdr:colOff>
      <xdr:row>3</xdr:row>
      <xdr:rowOff>82097</xdr:rowOff>
    </xdr:from>
    <xdr:to>
      <xdr:col>15</xdr:col>
      <xdr:colOff>539296</xdr:colOff>
      <xdr:row>6</xdr:row>
      <xdr:rowOff>148772</xdr:rowOff>
    </xdr:to>
    <xdr:sp macro="" textlink="Calc!C8">
      <xdr:nvSpPr>
        <xdr:cNvPr id="16" name="TextBox 15">
          <a:extLst>
            <a:ext uri="{FF2B5EF4-FFF2-40B4-BE49-F238E27FC236}">
              <a16:creationId xmlns:a16="http://schemas.microsoft.com/office/drawing/2014/main" id="{17AA9F4F-52A0-4C8B-A98D-10BC7801E35C}"/>
            </a:ext>
          </a:extLst>
        </xdr:cNvPr>
        <xdr:cNvSpPr txBox="1"/>
      </xdr:nvSpPr>
      <xdr:spPr>
        <a:xfrm>
          <a:off x="8556624" y="660401"/>
          <a:ext cx="1167493" cy="644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i="0" u="none" strike="noStrike">
              <a:solidFill>
                <a:schemeClr val="bg1"/>
              </a:solidFill>
              <a:latin typeface="Aptos Narrow"/>
            </a:rPr>
            <a:t>Avg Downtime Per</a:t>
          </a:r>
          <a:r>
            <a:rPr lang="en-US" sz="1050" b="1" i="0" u="none" strike="noStrike" baseline="0">
              <a:solidFill>
                <a:schemeClr val="bg1"/>
              </a:solidFill>
              <a:latin typeface="Aptos Narrow"/>
            </a:rPr>
            <a:t> Batch(Mins)</a:t>
          </a:r>
          <a:br>
            <a:rPr lang="en-US" sz="1050" b="1" i="0" u="none" strike="noStrike">
              <a:solidFill>
                <a:schemeClr val="bg1"/>
              </a:solidFill>
              <a:latin typeface="Aptos Narrow"/>
            </a:rPr>
          </a:br>
          <a:fld id="{082B1F73-9B25-424E-AB98-08A7B85A3B9A}" type="TxLink">
            <a:rPr lang="en-US" sz="1050" b="1" i="0" u="none" strike="noStrike">
              <a:solidFill>
                <a:schemeClr val="bg1"/>
              </a:solidFill>
              <a:latin typeface="Aptos Narrow"/>
            </a:rPr>
            <a:pPr algn="ctr"/>
            <a:t>39.88</a:t>
          </a:fld>
          <a:endParaRPr lang="en-US" sz="1050" b="1">
            <a:solidFill>
              <a:schemeClr val="bg1"/>
            </a:solidFill>
          </a:endParaRPr>
        </a:p>
      </xdr:txBody>
    </xdr:sp>
    <xdr:clientData/>
  </xdr:twoCellAnchor>
  <xdr:twoCellAnchor>
    <xdr:from>
      <xdr:col>16</xdr:col>
      <xdr:colOff>77561</xdr:colOff>
      <xdr:row>3</xdr:row>
      <xdr:rowOff>98879</xdr:rowOff>
    </xdr:from>
    <xdr:to>
      <xdr:col>18</xdr:col>
      <xdr:colOff>251733</xdr:colOff>
      <xdr:row>7</xdr:row>
      <xdr:rowOff>32204</xdr:rowOff>
    </xdr:to>
    <xdr:sp macro="" textlink="">
      <xdr:nvSpPr>
        <xdr:cNvPr id="17" name="Rectangle: Rounded Corners 16">
          <a:extLst>
            <a:ext uri="{FF2B5EF4-FFF2-40B4-BE49-F238E27FC236}">
              <a16:creationId xmlns:a16="http://schemas.microsoft.com/office/drawing/2014/main" id="{61B08978-7EC1-4BBF-AB8C-FDF666512C33}"/>
            </a:ext>
          </a:extLst>
        </xdr:cNvPr>
        <xdr:cNvSpPr/>
      </xdr:nvSpPr>
      <xdr:spPr>
        <a:xfrm>
          <a:off x="9874704" y="677183"/>
          <a:ext cx="1398815" cy="704396"/>
        </a:xfrm>
        <a:prstGeom prst="roundRect">
          <a:avLst/>
        </a:prstGeom>
        <a:gradFill>
          <a:gsLst>
            <a:gs pos="100000">
              <a:schemeClr val="tx1"/>
            </a:gs>
            <a:gs pos="0">
              <a:schemeClr val="accent3">
                <a:lumMod val="97000"/>
                <a:lumOff val="3000"/>
              </a:schemeClr>
            </a:gs>
            <a:gs pos="100000">
              <a:schemeClr val="accent3">
                <a:lumMod val="60000"/>
                <a:lumOff val="40000"/>
              </a:schemeClr>
            </a:gs>
          </a:gsLst>
          <a:lin ang="16200000" scaled="1"/>
        </a:gra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16</xdr:col>
      <xdr:colOff>148316</xdr:colOff>
      <xdr:row>3</xdr:row>
      <xdr:rowOff>106589</xdr:rowOff>
    </xdr:from>
    <xdr:to>
      <xdr:col>18</xdr:col>
      <xdr:colOff>148317</xdr:colOff>
      <xdr:row>6</xdr:row>
      <xdr:rowOff>154214</xdr:rowOff>
    </xdr:to>
    <xdr:sp macro="" textlink="Calc!A49">
      <xdr:nvSpPr>
        <xdr:cNvPr id="18" name="TextBox 17">
          <a:extLst>
            <a:ext uri="{FF2B5EF4-FFF2-40B4-BE49-F238E27FC236}">
              <a16:creationId xmlns:a16="http://schemas.microsoft.com/office/drawing/2014/main" id="{ECC39118-3AA8-4F90-806C-B7CAF2D52566}"/>
            </a:ext>
          </a:extLst>
        </xdr:cNvPr>
        <xdr:cNvSpPr txBox="1"/>
      </xdr:nvSpPr>
      <xdr:spPr>
        <a:xfrm>
          <a:off x="9945459" y="684893"/>
          <a:ext cx="1224644" cy="625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i="0" u="none" strike="noStrike">
              <a:solidFill>
                <a:schemeClr val="bg1"/>
              </a:solidFill>
              <a:latin typeface="Aptos Narrow"/>
            </a:rPr>
            <a:t>Top Issue :</a:t>
          </a:r>
          <a:br>
            <a:rPr lang="en-US" sz="1050" b="1" i="0" u="none" strike="noStrike">
              <a:solidFill>
                <a:schemeClr val="bg1"/>
              </a:solidFill>
              <a:latin typeface="Aptos Narrow"/>
            </a:rPr>
          </a:br>
          <a:fld id="{CA6A1469-D2DB-4E85-B808-3F6E00C593EE}" type="TxLink">
            <a:rPr lang="en-US" sz="1050" b="1" i="0" u="none" strike="noStrike">
              <a:solidFill>
                <a:schemeClr val="bg1"/>
              </a:solidFill>
              <a:latin typeface="Aptos Narrow"/>
            </a:rPr>
            <a:pPr algn="ctr"/>
            <a:t>Machine adjustment</a:t>
          </a:fld>
          <a:endParaRPr lang="en-US" sz="1050" b="1">
            <a:solidFill>
              <a:schemeClr val="bg1"/>
            </a:solidFill>
          </a:endParaRPr>
        </a:p>
      </xdr:txBody>
    </xdr:sp>
    <xdr:clientData/>
  </xdr:twoCellAnchor>
  <xdr:twoCellAnchor>
    <xdr:from>
      <xdr:col>2</xdr:col>
      <xdr:colOff>133349</xdr:colOff>
      <xdr:row>7</xdr:row>
      <xdr:rowOff>104775</xdr:rowOff>
    </xdr:from>
    <xdr:to>
      <xdr:col>7</xdr:col>
      <xdr:colOff>466724</xdr:colOff>
      <xdr:row>16</xdr:row>
      <xdr:rowOff>73269</xdr:rowOff>
    </xdr:to>
    <xdr:graphicFrame macro="">
      <xdr:nvGraphicFramePr>
        <xdr:cNvPr id="19" name="Chart 18">
          <a:extLst>
            <a:ext uri="{FF2B5EF4-FFF2-40B4-BE49-F238E27FC236}">
              <a16:creationId xmlns:a16="http://schemas.microsoft.com/office/drawing/2014/main" id="{9DBD5416-3E93-4E0F-BF0E-8CBF01284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xdr:colOff>
      <xdr:row>0</xdr:row>
      <xdr:rowOff>57150</xdr:rowOff>
    </xdr:from>
    <xdr:to>
      <xdr:col>18</xdr:col>
      <xdr:colOff>352425</xdr:colOff>
      <xdr:row>3</xdr:row>
      <xdr:rowOff>47625</xdr:rowOff>
    </xdr:to>
    <xdr:sp macro="" textlink="">
      <xdr:nvSpPr>
        <xdr:cNvPr id="20" name="Rectangle 19">
          <a:extLst>
            <a:ext uri="{FF2B5EF4-FFF2-40B4-BE49-F238E27FC236}">
              <a16:creationId xmlns:a16="http://schemas.microsoft.com/office/drawing/2014/main" id="{BBC5DF9F-9F7E-FF65-72D3-B846F4F3DDD8}"/>
            </a:ext>
          </a:extLst>
        </xdr:cNvPr>
        <xdr:cNvSpPr/>
      </xdr:nvSpPr>
      <xdr:spPr>
        <a:xfrm>
          <a:off x="47625" y="57150"/>
          <a:ext cx="11277600" cy="561975"/>
        </a:xfrm>
        <a:prstGeom prst="rect">
          <a:avLst/>
        </a:prstGeom>
        <a:gradFill>
          <a:gsLst>
            <a:gs pos="100000">
              <a:schemeClr val="tx1"/>
            </a:gs>
            <a:gs pos="0">
              <a:schemeClr val="accent3">
                <a:lumMod val="97000"/>
                <a:lumOff val="3000"/>
              </a:schemeClr>
            </a:gs>
            <a:gs pos="100000">
              <a:schemeClr val="accent3">
                <a:lumMod val="60000"/>
                <a:lumOff val="40000"/>
              </a:schemeClr>
            </a:gs>
          </a:gsLst>
          <a:lin ang="16200000" scaled="1"/>
        </a:gra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394939</xdr:colOff>
      <xdr:row>0</xdr:row>
      <xdr:rowOff>66676</xdr:rowOff>
    </xdr:from>
    <xdr:to>
      <xdr:col>15</xdr:col>
      <xdr:colOff>522713</xdr:colOff>
      <xdr:row>2</xdr:row>
      <xdr:rowOff>123826</xdr:rowOff>
    </xdr:to>
    <xdr:sp macro="" textlink="">
      <xdr:nvSpPr>
        <xdr:cNvPr id="21" name="TextBox 20">
          <a:extLst>
            <a:ext uri="{FF2B5EF4-FFF2-40B4-BE49-F238E27FC236}">
              <a16:creationId xmlns:a16="http://schemas.microsoft.com/office/drawing/2014/main" id="{CD549B6C-13A1-FDFA-9FA8-2CB0B92D8729}"/>
            </a:ext>
          </a:extLst>
        </xdr:cNvPr>
        <xdr:cNvSpPr txBox="1"/>
      </xdr:nvSpPr>
      <xdr:spPr>
        <a:xfrm>
          <a:off x="998963" y="66676"/>
          <a:ext cx="8584116" cy="428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bg1"/>
              </a:solidFill>
            </a:rPr>
            <a:t> Manufacturing</a:t>
          </a:r>
          <a:r>
            <a:rPr lang="en-IN" sz="2800"/>
            <a:t> </a:t>
          </a:r>
          <a:r>
            <a:rPr lang="en-IN" sz="2800" b="1">
              <a:solidFill>
                <a:schemeClr val="bg1"/>
              </a:solidFill>
            </a:rPr>
            <a:t>Downtime &amp; Efficiency Dashboard</a:t>
          </a:r>
        </a:p>
      </xdr:txBody>
    </xdr:sp>
    <xdr:clientData/>
  </xdr:twoCellAnchor>
  <xdr:twoCellAnchor>
    <xdr:from>
      <xdr:col>7</xdr:col>
      <xdr:colOff>533400</xdr:colOff>
      <xdr:row>7</xdr:row>
      <xdr:rowOff>95250</xdr:rowOff>
    </xdr:from>
    <xdr:to>
      <xdr:col>13</xdr:col>
      <xdr:colOff>28575</xdr:colOff>
      <xdr:row>16</xdr:row>
      <xdr:rowOff>66675</xdr:rowOff>
    </xdr:to>
    <xdr:graphicFrame macro="">
      <xdr:nvGraphicFramePr>
        <xdr:cNvPr id="22" name="Chart 21">
          <a:extLst>
            <a:ext uri="{FF2B5EF4-FFF2-40B4-BE49-F238E27FC236}">
              <a16:creationId xmlns:a16="http://schemas.microsoft.com/office/drawing/2014/main" id="{618F45E7-1C8F-4F2D-8969-AE849ED7F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114300</xdr:colOff>
      <xdr:row>7</xdr:row>
      <xdr:rowOff>95249</xdr:rowOff>
    </xdr:from>
    <xdr:to>
      <xdr:col>18</xdr:col>
      <xdr:colOff>381000</xdr:colOff>
      <xdr:row>16</xdr:row>
      <xdr:rowOff>66674</xdr:rowOff>
    </xdr:to>
    <xdr:graphicFrame macro="">
      <xdr:nvGraphicFramePr>
        <xdr:cNvPr id="23" name="Chart 22">
          <a:extLst>
            <a:ext uri="{FF2B5EF4-FFF2-40B4-BE49-F238E27FC236}">
              <a16:creationId xmlns:a16="http://schemas.microsoft.com/office/drawing/2014/main" id="{F4900052-D267-4EDE-B217-930172AE6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136071</xdr:colOff>
      <xdr:row>16</xdr:row>
      <xdr:rowOff>142875</xdr:rowOff>
    </xdr:from>
    <xdr:to>
      <xdr:col>7</xdr:col>
      <xdr:colOff>476250</xdr:colOff>
      <xdr:row>27</xdr:row>
      <xdr:rowOff>9525</xdr:rowOff>
    </xdr:to>
    <xdr:graphicFrame macro="">
      <xdr:nvGraphicFramePr>
        <xdr:cNvPr id="24" name="Chart 23">
          <a:extLst>
            <a:ext uri="{FF2B5EF4-FFF2-40B4-BE49-F238E27FC236}">
              <a16:creationId xmlns:a16="http://schemas.microsoft.com/office/drawing/2014/main" id="{72B026DF-B2E1-4DD8-914B-13C81C609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552450</xdr:colOff>
      <xdr:row>16</xdr:row>
      <xdr:rowOff>142874</xdr:rowOff>
    </xdr:from>
    <xdr:to>
      <xdr:col>13</xdr:col>
      <xdr:colOff>57150</xdr:colOff>
      <xdr:row>26</xdr:row>
      <xdr:rowOff>190499</xdr:rowOff>
    </xdr:to>
    <xdr:graphicFrame macro="">
      <xdr:nvGraphicFramePr>
        <xdr:cNvPr id="25" name="Chart 24">
          <a:extLst>
            <a:ext uri="{FF2B5EF4-FFF2-40B4-BE49-F238E27FC236}">
              <a16:creationId xmlns:a16="http://schemas.microsoft.com/office/drawing/2014/main" id="{D95131AB-AD2E-4544-9721-6F877499F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136071</xdr:colOff>
      <xdr:row>16</xdr:row>
      <xdr:rowOff>147410</xdr:rowOff>
    </xdr:from>
    <xdr:to>
      <xdr:col>18</xdr:col>
      <xdr:colOff>396875</xdr:colOff>
      <xdr:row>26</xdr:row>
      <xdr:rowOff>188459</xdr:rowOff>
    </xdr:to>
    <xdr:graphicFrame macro="">
      <xdr:nvGraphicFramePr>
        <xdr:cNvPr id="14" name="Chart 13">
          <a:extLst>
            <a:ext uri="{FF2B5EF4-FFF2-40B4-BE49-F238E27FC236}">
              <a16:creationId xmlns:a16="http://schemas.microsoft.com/office/drawing/2014/main" id="{4A5806A2-4B7F-42EA-9CD3-5AED53A02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36635</xdr:colOff>
      <xdr:row>7</xdr:row>
      <xdr:rowOff>48847</xdr:rowOff>
    </xdr:from>
    <xdr:to>
      <xdr:col>2</xdr:col>
      <xdr:colOff>85481</xdr:colOff>
      <xdr:row>19</xdr:row>
      <xdr:rowOff>12211</xdr:rowOff>
    </xdr:to>
    <mc:AlternateContent xmlns:mc="http://schemas.openxmlformats.org/markup-compatibility/2006" xmlns:a14="http://schemas.microsoft.com/office/drawing/2010/main">
      <mc:Choice Requires="a14">
        <xdr:graphicFrame macro="">
          <xdr:nvGraphicFramePr>
            <xdr:cNvPr id="28" name="Description">
              <a:extLst>
                <a:ext uri="{FF2B5EF4-FFF2-40B4-BE49-F238E27FC236}">
                  <a16:creationId xmlns:a16="http://schemas.microsoft.com/office/drawing/2014/main" id="{768CD930-130B-4328-B6EF-BF5B4019EC4F}"/>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36635" y="1349823"/>
              <a:ext cx="1256895" cy="2193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24423</xdr:colOff>
      <xdr:row>19</xdr:row>
      <xdr:rowOff>48845</xdr:rowOff>
    </xdr:from>
    <xdr:to>
      <xdr:col>2</xdr:col>
      <xdr:colOff>85480</xdr:colOff>
      <xdr:row>27</xdr:row>
      <xdr:rowOff>-1</xdr:rowOff>
    </xdr:to>
    <mc:AlternateContent xmlns:mc="http://schemas.openxmlformats.org/markup-compatibility/2006" xmlns:a14="http://schemas.microsoft.com/office/drawing/2010/main">
      <mc:Choice Requires="a14">
        <xdr:graphicFrame macro="">
          <xdr:nvGraphicFramePr>
            <xdr:cNvPr id="29" name="Operator">
              <a:extLst>
                <a:ext uri="{FF2B5EF4-FFF2-40B4-BE49-F238E27FC236}">
                  <a16:creationId xmlns:a16="http://schemas.microsoft.com/office/drawing/2014/main" id="{B85572BB-A58A-495C-B943-4F64F1BACB33}"/>
                </a:ext>
              </a:extLst>
            </xdr:cNvPr>
            <xdr:cNvGraphicFramePr/>
          </xdr:nvGraphicFramePr>
          <xdr:xfrm>
            <a:off x="0" y="0"/>
            <a:ext cx="0" cy="0"/>
          </xdr:xfrm>
          <a:graphic>
            <a:graphicData uri="http://schemas.microsoft.com/office/drawing/2010/slicer">
              <sle:slicer xmlns:sle="http://schemas.microsoft.com/office/drawing/2010/slicer" name="Operator"/>
            </a:graphicData>
          </a:graphic>
        </xdr:graphicFrame>
      </mc:Choice>
      <mc:Fallback xmlns="">
        <xdr:sp macro="" textlink="">
          <xdr:nvSpPr>
            <xdr:cNvPr id="0" name=""/>
            <xdr:cNvSpPr>
              <a:spLocks noTextEdit="1"/>
            </xdr:cNvSpPr>
          </xdr:nvSpPr>
          <xdr:spPr>
            <a:xfrm>
              <a:off x="24423" y="3580065"/>
              <a:ext cx="1269106" cy="1437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9.835528356482" backgroundQuery="1" createdVersion="8" refreshedVersion="8" minRefreshableVersion="3" recordCount="0" supportSubquery="1" supportAdvancedDrill="1" xr:uid="{D8A4CBC8-53B8-4270-A670-B706E9F6ADFF}">
  <cacheSource type="external" connectionId="5"/>
  <cacheFields count="2">
    <cacheField name="[Downtime].[Description].[Description]" caption="Description" numFmtId="0" hierarchy="5" level="1">
      <sharedItems count="1">
        <s v="Machine adjustment"/>
      </sharedItems>
    </cacheField>
    <cacheField name="[Measures].[Count of Description]" caption="Count of Description" numFmtId="0" hierarchy="19" level="32767"/>
  </cacheFields>
  <cacheHierarchies count="23">
    <cacheHierarchy uniqueName="[Downtime].[Date]" caption="Date" attribute="1" time="1" defaultMemberUniqueName="[Downtime].[Date].[All]" allUniqueName="[Downtime].[Date].[All]" dimensionUniqueName="[Downtime]" displayFolder="" count="0" memberValueDatatype="7" unbalanced="0"/>
    <cacheHierarchy uniqueName="[Downtime].[Batch]" caption="Batch" attribute="1" defaultMemberUniqueName="[Downtime].[Batch].[All]" allUniqueName="[Downtime].[Batch].[All]" dimensionUniqueName="[Downtime]" displayFolder="" count="0" memberValueDatatype="130" unbalanced="0"/>
    <cacheHierarchy uniqueName="[Downtime].[Product]" caption="Product" attribute="1" defaultMemberUniqueName="[Downtime].[Product].[All]" allUniqueName="[Downtime].[Product].[All]" dimensionUniqueName="[Downtime]" displayFolder="" count="2" memberValueDatatype="130" unbalanced="0"/>
    <cacheHierarchy uniqueName="[Downtime].[Downtime Factor]" caption="Downtime Factor" attribute="1" defaultMemberUniqueName="[Downtime].[Downtime Factor].[All]" allUniqueName="[Downtime].[Downtime Factor].[All]" dimensionUniqueName="[Downtime]" displayFolder="" count="0" memberValueDatatype="20" unbalanced="0"/>
    <cacheHierarchy uniqueName="[Downtime].[Downtime]" caption="Downtime" attribute="1" defaultMemberUniqueName="[Downtime].[Downtime].[All]" allUniqueName="[Downtime].[Downtime].[All]" dimensionUniqueName="[Downtime]" displayFolder="" count="0" memberValueDatatype="20" unbalanced="0"/>
    <cacheHierarchy uniqueName="[Downtime].[Description]" caption="Description" attribute="1" defaultMemberUniqueName="[Downtime].[Description].[All]" allUniqueName="[Downtime].[Description].[All]" dimensionUniqueName="[Downtime]" displayFolder="" count="2" memberValueDatatype="130" unbalanced="0">
      <fieldsUsage count="2">
        <fieldUsage x="-1"/>
        <fieldUsage x="0"/>
      </fieldsUsage>
    </cacheHierarchy>
    <cacheHierarchy uniqueName="[Downtime].[Operator Error]" caption="Operator Error" attribute="1" defaultMemberUniqueName="[Downtime].[Operator Error].[All]" allUniqueName="[Downtime].[Operator Error].[All]" dimensionUniqueName="[Downtime]" displayFolder="" count="0" memberValueDatatype="130" unbalanced="0"/>
    <cacheHierarchy uniqueName="[Downtime].[Adjusted Value]" caption="Adjusted Value" attribute="1" defaultMemberUniqueName="[Downtime].[Adjusted Value].[All]" allUniqueName="[Downtime].[Adjusted Value].[All]" dimensionUniqueName="[Downtime]" displayFolder="" count="0" memberValueDatatype="20" unbalanced="0"/>
    <cacheHierarchy uniqueName="[Downtime].[Operator]" caption="Operator" attribute="1" defaultMemberUniqueName="[Downtime].[Operator].[All]" allUniqueName="[Downtime].[Operator].[All]" dimensionUniqueName="[Downtime]" displayFolder="" count="0" memberValueDatatype="130" unbalanced="0"/>
    <cacheHierarchy uniqueName="[Downtime].[Production Time]" caption="Production Time" attribute="1" defaultMemberUniqueName="[Downtime].[Production Time].[All]" allUniqueName="[Downtime].[Production Time].[All]" dimensionUniqueName="[Downtime]" displayFolder="" count="0" memberValueDatatype="20" unbalanced="0"/>
    <cacheHierarchy uniqueName="[Downtime].[Flavor]" caption="Flavor" attribute="1" defaultMemberUniqueName="[Downtime].[Flavor].[All]" allUniqueName="[Downtime].[Flavor].[All]" dimensionUniqueName="[Downtime]" displayFolder="" count="2" memberValueDatatype="130" unbalanced="0"/>
    <cacheHierarchy uniqueName="[Downtime].[Size]" caption="Size" attribute="1" defaultMemberUniqueName="[Downtime].[Size].[All]" allUniqueName="[Downtime].[Size].[All]" dimensionUniqueName="[Downtime]" displayFolder="" count="0" memberValueDatatype="130" unbalanced="0"/>
    <cacheHierarchy uniqueName="[Downtime].[Min batch time]" caption="Min batch time" attribute="1" defaultMemberUniqueName="[Downtime].[Min batch time].[All]" allUniqueName="[Downtime].[Min batch time].[All]" dimensionUniqueName="[Downtime]" displayFolder="" count="0" memberValueDatatype="20" unbalanced="0"/>
    <cacheHierarchy uniqueName="[Downtime].[Date (Month)]" caption="Date (Month)" attribute="1" defaultMemberUniqueName="[Downtime].[Date (Month)].[All]" allUniqueName="[Downtime].[Date (Month)].[All]" dimensionUniqueName="[Downtime]" displayFolder="" count="0" memberValueDatatype="130" unbalanced="0"/>
    <cacheHierarchy uniqueName="[Downtime].[Date (Month Index)]" caption="Date (Month Index)" attribute="1" defaultMemberUniqueName="[Downtime].[Date (Month Index)].[All]" allUniqueName="[Downtime].[Date (Month Index)].[All]" dimensionUniqueName="[Downtime]" displayFolder="" count="0" memberValueDatatype="20" unbalanced="0" hidden="1"/>
    <cacheHierarchy uniqueName="[Measures].[__XL_Count Downtime]" caption="__XL_Count Downtime" measure="1" displayFolder="" measureGroup="Downtime" count="0" hidden="1"/>
    <cacheHierarchy uniqueName="[Measures].[__No measures defined]" caption="__No measures defined" measure="1" displayFolder="" count="0" hidden="1"/>
    <cacheHierarchy uniqueName="[Measures].[Count of Batch]" caption="Count of Batch" measure="1" displayFolder="" measureGroup="Downtime" count="0" hidden="1">
      <extLst>
        <ext xmlns:x15="http://schemas.microsoft.com/office/spreadsheetml/2010/11/main" uri="{B97F6D7D-B522-45F9-BDA1-12C45D357490}">
          <x15:cacheHierarchy aggregatedColumn="1"/>
        </ext>
      </extLst>
    </cacheHierarchy>
    <cacheHierarchy uniqueName="[Measures].[Distinct Count of Batch]" caption="Distinct Count of Batch" measure="1" displayFolder="" measureGroup="Downtime" count="0" hidden="1">
      <extLst>
        <ext xmlns:x15="http://schemas.microsoft.com/office/spreadsheetml/2010/11/main" uri="{B97F6D7D-B522-45F9-BDA1-12C45D357490}">
          <x15:cacheHierarchy aggregatedColumn="1"/>
        </ext>
      </extLst>
    </cacheHierarchy>
    <cacheHierarchy uniqueName="[Measures].[Count of Description]" caption="Count of Description" measure="1" displayFolder="" measureGroup="Downtim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djusted Value]" caption="Sum of Adjusted Value" measure="1" displayFolder="" measureGroup="Downtime" count="0" hidden="1">
      <extLst>
        <ext xmlns:x15="http://schemas.microsoft.com/office/spreadsheetml/2010/11/main" uri="{B97F6D7D-B522-45F9-BDA1-12C45D357490}">
          <x15:cacheHierarchy aggregatedColumn="7"/>
        </ext>
      </extLst>
    </cacheHierarchy>
    <cacheHierarchy uniqueName="[Measures].[Sum of Downtime]" caption="Sum of Downtime" measure="1" displayFolder="" measureGroup="Downtime" count="0" hidden="1">
      <extLst>
        <ext xmlns:x15="http://schemas.microsoft.com/office/spreadsheetml/2010/11/main" uri="{B97F6D7D-B522-45F9-BDA1-12C45D357490}">
          <x15:cacheHierarchy aggregatedColumn="4"/>
        </ext>
      </extLst>
    </cacheHierarchy>
    <cacheHierarchy uniqueName="[Measures].[Sum of Production Time]" caption="Sum of Production Time" measure="1" displayFolder="" measureGroup="Downtime" count="0" hidden="1">
      <extLst>
        <ext xmlns:x15="http://schemas.microsoft.com/office/spreadsheetml/2010/11/main" uri="{B97F6D7D-B522-45F9-BDA1-12C45D357490}">
          <x15:cacheHierarchy aggregatedColumn="9"/>
        </ext>
      </extLst>
    </cacheHierarchy>
  </cacheHierarchies>
  <kpis count="0"/>
  <dimensions count="2">
    <dimension name="Downtime" uniqueName="[Downtime]" caption="Downtime"/>
    <dimension measure="1" name="Measures" uniqueName="[Measures]" caption="Measures"/>
  </dimensions>
  <measureGroups count="1">
    <measureGroup name="Downtime" caption="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9.835529861113" backgroundQuery="1" createdVersion="8" refreshedVersion="8" minRefreshableVersion="3" recordCount="0" supportSubquery="1" supportAdvancedDrill="1" xr:uid="{ABFEF689-F53B-4B92-BC95-E305E0CED314}">
  <cacheSource type="external" connectionId="5"/>
  <cacheFields count="2">
    <cacheField name="[Downtime].[Batch].[Batch]" caption="Batch" numFmtId="0" hierarchy="1" level="1">
      <sharedItems count="34">
        <s v="422111"/>
        <s v="422112"/>
        <s v="422113"/>
        <s v="422114"/>
        <s v="422115"/>
        <s v="422117"/>
        <s v="422118"/>
        <s v="422119"/>
        <s v="422120"/>
        <s v="422121"/>
        <s v="422122"/>
        <s v="422123"/>
        <s v="422124"/>
        <s v="422125"/>
        <s v="422126"/>
        <s v="422127"/>
        <s v="422128"/>
        <s v="422129"/>
        <s v="422130"/>
        <s v="422131"/>
        <s v="422133"/>
        <s v="422134"/>
        <s v="422135"/>
        <s v="422137"/>
        <s v="422138"/>
        <s v="422139"/>
        <s v="422140"/>
        <s v="422141"/>
        <s v="422142"/>
        <s v="422143"/>
        <s v="422144"/>
        <s v="422145"/>
        <s v="422146"/>
        <s v="422147"/>
      </sharedItems>
    </cacheField>
    <cacheField name="[Measures].[Distinct Count of Batch]" caption="Distinct Count of Batch" numFmtId="0" hierarchy="18" level="32767"/>
  </cacheFields>
  <cacheHierarchies count="23">
    <cacheHierarchy uniqueName="[Downtime].[Date]" caption="Date" attribute="1" time="1" defaultMemberUniqueName="[Downtime].[Date].[All]" allUniqueName="[Downtime].[Date].[All]" dimensionUniqueName="[Downtime]" displayFolder="" count="0" memberValueDatatype="7" unbalanced="0"/>
    <cacheHierarchy uniqueName="[Downtime].[Batch]" caption="Batch" attribute="1" defaultMemberUniqueName="[Downtime].[Batch].[All]" allUniqueName="[Downtime].[Batch].[All]" dimensionUniqueName="[Downtime]" displayFolder="" count="2" memberValueDatatype="130" unbalanced="0">
      <fieldsUsage count="2">
        <fieldUsage x="-1"/>
        <fieldUsage x="0"/>
      </fieldsUsage>
    </cacheHierarchy>
    <cacheHierarchy uniqueName="[Downtime].[Product]" caption="Product" attribute="1" defaultMemberUniqueName="[Downtime].[Product].[All]" allUniqueName="[Downtime].[Product].[All]" dimensionUniqueName="[Downtime]" displayFolder="" count="2" memberValueDatatype="130" unbalanced="0"/>
    <cacheHierarchy uniqueName="[Downtime].[Downtime Factor]" caption="Downtime Factor" attribute="1" defaultMemberUniqueName="[Downtime].[Downtime Factor].[All]" allUniqueName="[Downtime].[Downtime Factor].[All]" dimensionUniqueName="[Downtime]" displayFolder="" count="0" memberValueDatatype="20" unbalanced="0"/>
    <cacheHierarchy uniqueName="[Downtime].[Downtime]" caption="Downtime" attribute="1" defaultMemberUniqueName="[Downtime].[Downtime].[All]" allUniqueName="[Downtime].[Downtime].[All]" dimensionUniqueName="[Downtime]" displayFolder="" count="0" memberValueDatatype="20" unbalanced="0"/>
    <cacheHierarchy uniqueName="[Downtime].[Description]" caption="Description" attribute="1" defaultMemberUniqueName="[Downtime].[Description].[All]" allUniqueName="[Downtime].[Description].[All]" dimensionUniqueName="[Downtime]" displayFolder="" count="0" memberValueDatatype="130" unbalanced="0"/>
    <cacheHierarchy uniqueName="[Downtime].[Operator Error]" caption="Operator Error" attribute="1" defaultMemberUniqueName="[Downtime].[Operator Error].[All]" allUniqueName="[Downtime].[Operator Error].[All]" dimensionUniqueName="[Downtime]" displayFolder="" count="0" memberValueDatatype="130" unbalanced="0"/>
    <cacheHierarchy uniqueName="[Downtime].[Adjusted Value]" caption="Adjusted Value" attribute="1" defaultMemberUniqueName="[Downtime].[Adjusted Value].[All]" allUniqueName="[Downtime].[Adjusted Value].[All]" dimensionUniqueName="[Downtime]" displayFolder="" count="0" memberValueDatatype="20" unbalanced="0"/>
    <cacheHierarchy uniqueName="[Downtime].[Operator]" caption="Operator" attribute="1" defaultMemberUniqueName="[Downtime].[Operator].[All]" allUniqueName="[Downtime].[Operator].[All]" dimensionUniqueName="[Downtime]" displayFolder="" count="0" memberValueDatatype="130" unbalanced="0"/>
    <cacheHierarchy uniqueName="[Downtime].[Production Time]" caption="Production Time" attribute="1" defaultMemberUniqueName="[Downtime].[Production Time].[All]" allUniqueName="[Downtime].[Production Time].[All]" dimensionUniqueName="[Downtime]" displayFolder="" count="0" memberValueDatatype="20" unbalanced="0"/>
    <cacheHierarchy uniqueName="[Downtime].[Flavor]" caption="Flavor" attribute="1" defaultMemberUniqueName="[Downtime].[Flavor].[All]" allUniqueName="[Downtime].[Flavor].[All]" dimensionUniqueName="[Downtime]" displayFolder="" count="2" memberValueDatatype="130" unbalanced="0"/>
    <cacheHierarchy uniqueName="[Downtime].[Size]" caption="Size" attribute="1" defaultMemberUniqueName="[Downtime].[Size].[All]" allUniqueName="[Downtime].[Size].[All]" dimensionUniqueName="[Downtime]" displayFolder="" count="0" memberValueDatatype="130" unbalanced="0"/>
    <cacheHierarchy uniqueName="[Downtime].[Min batch time]" caption="Min batch time" attribute="1" defaultMemberUniqueName="[Downtime].[Min batch time].[All]" allUniqueName="[Downtime].[Min batch time].[All]" dimensionUniqueName="[Downtime]" displayFolder="" count="0" memberValueDatatype="20" unbalanced="0"/>
    <cacheHierarchy uniqueName="[Downtime].[Date (Month)]" caption="Date (Month)" attribute="1" defaultMemberUniqueName="[Downtime].[Date (Month)].[All]" allUniqueName="[Downtime].[Date (Month)].[All]" dimensionUniqueName="[Downtime]" displayFolder="" count="0" memberValueDatatype="130" unbalanced="0"/>
    <cacheHierarchy uniqueName="[Downtime].[Date (Month Index)]" caption="Date (Month Index)" attribute="1" defaultMemberUniqueName="[Downtime].[Date (Month Index)].[All]" allUniqueName="[Downtime].[Date (Month Index)].[All]" dimensionUniqueName="[Downtime]" displayFolder="" count="0" memberValueDatatype="20" unbalanced="0" hidden="1"/>
    <cacheHierarchy uniqueName="[Measures].[__XL_Count Downtime]" caption="__XL_Count Downtime" measure="1" displayFolder="" measureGroup="Downtime" count="0" hidden="1"/>
    <cacheHierarchy uniqueName="[Measures].[__No measures defined]" caption="__No measures defined" measure="1" displayFolder="" count="0" hidden="1"/>
    <cacheHierarchy uniqueName="[Measures].[Count of Batch]" caption="Count of Batch" measure="1" displayFolder="" measureGroup="Downtime" count="0" hidden="1">
      <extLst>
        <ext xmlns:x15="http://schemas.microsoft.com/office/spreadsheetml/2010/11/main" uri="{B97F6D7D-B522-45F9-BDA1-12C45D357490}">
          <x15:cacheHierarchy aggregatedColumn="1"/>
        </ext>
      </extLst>
    </cacheHierarchy>
    <cacheHierarchy uniqueName="[Measures].[Distinct Count of Batch]" caption="Distinct Count of Batch" measure="1" displayFolder="" measureGroup="Downtim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Description]" caption="Count of Description" measure="1" displayFolder="" measureGroup="Downtime" count="0" hidden="1">
      <extLst>
        <ext xmlns:x15="http://schemas.microsoft.com/office/spreadsheetml/2010/11/main" uri="{B97F6D7D-B522-45F9-BDA1-12C45D357490}">
          <x15:cacheHierarchy aggregatedColumn="5"/>
        </ext>
      </extLst>
    </cacheHierarchy>
    <cacheHierarchy uniqueName="[Measures].[Sum of Adjusted Value]" caption="Sum of Adjusted Value" measure="1" displayFolder="" measureGroup="Downtime" count="0" hidden="1">
      <extLst>
        <ext xmlns:x15="http://schemas.microsoft.com/office/spreadsheetml/2010/11/main" uri="{B97F6D7D-B522-45F9-BDA1-12C45D357490}">
          <x15:cacheHierarchy aggregatedColumn="7"/>
        </ext>
      </extLst>
    </cacheHierarchy>
    <cacheHierarchy uniqueName="[Measures].[Sum of Downtime]" caption="Sum of Downtime" measure="1" displayFolder="" measureGroup="Downtime" count="0" hidden="1">
      <extLst>
        <ext xmlns:x15="http://schemas.microsoft.com/office/spreadsheetml/2010/11/main" uri="{B97F6D7D-B522-45F9-BDA1-12C45D357490}">
          <x15:cacheHierarchy aggregatedColumn="4"/>
        </ext>
      </extLst>
    </cacheHierarchy>
    <cacheHierarchy uniqueName="[Measures].[Sum of Production Time]" caption="Sum of Production Time" measure="1" displayFolder="" measureGroup="Downtime" count="0" hidden="1">
      <extLst>
        <ext xmlns:x15="http://schemas.microsoft.com/office/spreadsheetml/2010/11/main" uri="{B97F6D7D-B522-45F9-BDA1-12C45D357490}">
          <x15:cacheHierarchy aggregatedColumn="9"/>
        </ext>
      </extLst>
    </cacheHierarchy>
  </cacheHierarchies>
  <kpis count="0"/>
  <dimensions count="2">
    <dimension name="Downtime" uniqueName="[Downtime]" caption="Downtime"/>
    <dimension measure="1" name="Measures" uniqueName="[Measures]" caption="Measures"/>
  </dimensions>
  <measureGroups count="1">
    <measureGroup name="Downtime" caption="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9.83700821759" backgroundQuery="1" createdVersion="8" refreshedVersion="8" minRefreshableVersion="3" recordCount="0" supportSubquery="1" supportAdvancedDrill="1" xr:uid="{1F925B84-D3A7-427F-990F-BC851646CD9F}">
  <cacheSource type="external" connectionId="5"/>
  <cacheFields count="4">
    <cacheField name="[Downtime].[Date].[Date]" caption="Date" numFmtId="0" level="1">
      <sharedItems containsSemiMixedTypes="0" containsNonDate="0" containsDate="1" containsString="0" minDate="2024-08-29T00:00:00" maxDate="2024-09-03T00:00:00" count="4">
        <d v="2024-08-29T00:00:00"/>
        <d v="2024-08-30T00:00:00"/>
        <d v="2024-08-31T00:00:00"/>
        <d v="2024-09-02T00:00:00"/>
      </sharedItems>
    </cacheField>
    <cacheField name="[Downtime].[Date (Month)].[Date (Month)]" caption="Date (Month)" numFmtId="0" hierarchy="13" level="1">
      <sharedItems count="2">
        <s v="Aug"/>
        <s v="Sep"/>
      </sharedItems>
    </cacheField>
    <cacheField name="[Measures].[Sum of Adjusted Value]" caption="Sum of Adjusted Value" numFmtId="0" hierarchy="20" level="32767"/>
    <cacheField name="[Downtime].[Operator].[Operator]" caption="Operator" numFmtId="0" hierarchy="8" level="1">
      <sharedItems containsSemiMixedTypes="0" containsNonDate="0" containsString="0"/>
    </cacheField>
  </cacheFields>
  <cacheHierarchies count="23">
    <cacheHierarchy uniqueName="[Downtime].[Date]" caption="Date" attribute="1" time="1" defaultMemberUniqueName="[Downtime].[Date].[All]" allUniqueName="[Downtime].[Date].[All]" dimensionUniqueName="[Downtime]" displayFolder="" count="2" memberValueDatatype="7" unbalanced="0">
      <fieldsUsage count="2">
        <fieldUsage x="-1"/>
        <fieldUsage x="0"/>
      </fieldsUsage>
    </cacheHierarchy>
    <cacheHierarchy uniqueName="[Downtime].[Batch]" caption="Batch" attribute="1" defaultMemberUniqueName="[Downtime].[Batch].[All]" allUniqueName="[Downtime].[Batch].[All]" dimensionUniqueName="[Downtime]" displayFolder="" count="2" memberValueDatatype="130" unbalanced="0"/>
    <cacheHierarchy uniqueName="[Downtime].[Product]" caption="Product" attribute="1" defaultMemberUniqueName="[Downtime].[Product].[All]" allUniqueName="[Downtime].[Product].[All]" dimensionUniqueName="[Downtime]" displayFolder="" count="2" memberValueDatatype="130" unbalanced="0"/>
    <cacheHierarchy uniqueName="[Downtime].[Downtime Factor]" caption="Downtime Factor" attribute="1" defaultMemberUniqueName="[Downtime].[Downtime Factor].[All]" allUniqueName="[Downtime].[Downtime Factor].[All]" dimensionUniqueName="[Downtime]" displayFolder="" count="2" memberValueDatatype="20" unbalanced="0"/>
    <cacheHierarchy uniqueName="[Downtime].[Downtime]" caption="Downtime" attribute="1" defaultMemberUniqueName="[Downtime].[Downtime].[All]" allUniqueName="[Downtime].[Downtime].[All]" dimensionUniqueName="[Downtime]" displayFolder="" count="2" memberValueDatatype="20" unbalanced="0"/>
    <cacheHierarchy uniqueName="[Downtime].[Description]" caption="Description" attribute="1" defaultMemberUniqueName="[Downtime].[Description].[All]" allUniqueName="[Downtime].[Description].[All]" dimensionUniqueName="[Downtime]" displayFolder="" count="2" memberValueDatatype="130" unbalanced="0"/>
    <cacheHierarchy uniqueName="[Downtime].[Operator Error]" caption="Operator Error" attribute="1" defaultMemberUniqueName="[Downtime].[Operator Error].[All]" allUniqueName="[Downtime].[Operator Error].[All]" dimensionUniqueName="[Downtime]" displayFolder="" count="2" memberValueDatatype="130" unbalanced="0"/>
    <cacheHierarchy uniqueName="[Downtime].[Adjusted Value]" caption="Adjusted Value" attribute="1" defaultMemberUniqueName="[Downtime].[Adjusted Value].[All]" allUniqueName="[Downtime].[Adjusted Value].[All]" dimensionUniqueName="[Downtime]" displayFolder="" count="2" memberValueDatatype="20" unbalanced="0"/>
    <cacheHierarchy uniqueName="[Downtime].[Operator]" caption="Operator" attribute="1" defaultMemberUniqueName="[Downtime].[Operator].[All]" allUniqueName="[Downtime].[Operator].[All]" dimensionUniqueName="[Downtime]" displayFolder="" count="2" memberValueDatatype="130" unbalanced="0">
      <fieldsUsage count="2">
        <fieldUsage x="-1"/>
        <fieldUsage x="3"/>
      </fieldsUsage>
    </cacheHierarchy>
    <cacheHierarchy uniqueName="[Downtime].[Production Time]" caption="Production Time" attribute="1" defaultMemberUniqueName="[Downtime].[Production Time].[All]" allUniqueName="[Downtime].[Production Time].[All]" dimensionUniqueName="[Downtime]" displayFolder="" count="2" memberValueDatatype="20" unbalanced="0"/>
    <cacheHierarchy uniqueName="[Downtime].[Flavor]" caption="Flavor" attribute="1" defaultMemberUniqueName="[Downtime].[Flavor].[All]" allUniqueName="[Downtime].[Flavor].[All]" dimensionUniqueName="[Downtime]" displayFolder="" count="2" memberValueDatatype="130" unbalanced="0"/>
    <cacheHierarchy uniqueName="[Downtime].[Size]" caption="Size" attribute="1" defaultMemberUniqueName="[Downtime].[Size].[All]" allUniqueName="[Downtime].[Size].[All]" dimensionUniqueName="[Downtime]" displayFolder="" count="2" memberValueDatatype="130" unbalanced="0"/>
    <cacheHierarchy uniqueName="[Downtime].[Min batch time]" caption="Min batch time" attribute="1" defaultMemberUniqueName="[Downtime].[Min batch time].[All]" allUniqueName="[Downtime].[Min batch time].[All]" dimensionUniqueName="[Downtime]" displayFolder="" count="2" memberValueDatatype="20" unbalanced="0"/>
    <cacheHierarchy uniqueName="[Downtime].[Date (Month)]" caption="Date (Month)" attribute="1" defaultMemberUniqueName="[Downtime].[Date (Month)].[All]" allUniqueName="[Downtime].[Date (Month)].[All]" dimensionUniqueName="[Downtime]" displayFolder="" count="2" memberValueDatatype="130" unbalanced="0">
      <fieldsUsage count="2">
        <fieldUsage x="-1"/>
        <fieldUsage x="1"/>
      </fieldsUsage>
    </cacheHierarchy>
    <cacheHierarchy uniqueName="[Downtime].[Date (Month Index)]" caption="Date (Month Index)" attribute="1" defaultMemberUniqueName="[Downtime].[Date (Month Index)].[All]" allUniqueName="[Downtime].[Date (Month Index)].[All]" dimensionUniqueName="[Downtime]" displayFolder="" count="2" memberValueDatatype="20" unbalanced="0" hidden="1"/>
    <cacheHierarchy uniqueName="[Measures].[__XL_Count Downtime]" caption="__XL_Count Downtime" measure="1" displayFolder="" measureGroup="Downtime" count="0" hidden="1"/>
    <cacheHierarchy uniqueName="[Measures].[__No measures defined]" caption="__No measures defined" measure="1" displayFolder="" count="0" hidden="1"/>
    <cacheHierarchy uniqueName="[Measures].[Count of Batch]" caption="Count of Batch" measure="1" displayFolder="" measureGroup="Downtime" count="0" hidden="1">
      <extLst>
        <ext xmlns:x15="http://schemas.microsoft.com/office/spreadsheetml/2010/11/main" uri="{B97F6D7D-B522-45F9-BDA1-12C45D357490}">
          <x15:cacheHierarchy aggregatedColumn="1"/>
        </ext>
      </extLst>
    </cacheHierarchy>
    <cacheHierarchy uniqueName="[Measures].[Distinct Count of Batch]" caption="Distinct Count of Batch" measure="1" displayFolder="" measureGroup="Downtime" count="0" hidden="1">
      <extLst>
        <ext xmlns:x15="http://schemas.microsoft.com/office/spreadsheetml/2010/11/main" uri="{B97F6D7D-B522-45F9-BDA1-12C45D357490}">
          <x15:cacheHierarchy aggregatedColumn="1"/>
        </ext>
      </extLst>
    </cacheHierarchy>
    <cacheHierarchy uniqueName="[Measures].[Count of Description]" caption="Count of Description" measure="1" displayFolder="" measureGroup="Downtime" count="0" hidden="1">
      <extLst>
        <ext xmlns:x15="http://schemas.microsoft.com/office/spreadsheetml/2010/11/main" uri="{B97F6D7D-B522-45F9-BDA1-12C45D357490}">
          <x15:cacheHierarchy aggregatedColumn="5"/>
        </ext>
      </extLst>
    </cacheHierarchy>
    <cacheHierarchy uniqueName="[Measures].[Sum of Adjusted Value]" caption="Sum of Adjusted Value" measure="1" displayFolder="" measureGroup="Downtim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Downtime]" caption="Sum of Downtime" measure="1" displayFolder="" measureGroup="Downtime" count="0" hidden="1">
      <extLst>
        <ext xmlns:x15="http://schemas.microsoft.com/office/spreadsheetml/2010/11/main" uri="{B97F6D7D-B522-45F9-BDA1-12C45D357490}">
          <x15:cacheHierarchy aggregatedColumn="4"/>
        </ext>
      </extLst>
    </cacheHierarchy>
    <cacheHierarchy uniqueName="[Measures].[Sum of Production Time]" caption="Sum of Production Time" measure="1" displayFolder="" measureGroup="Downtime" count="0" hidden="1">
      <extLst>
        <ext xmlns:x15="http://schemas.microsoft.com/office/spreadsheetml/2010/11/main" uri="{B97F6D7D-B522-45F9-BDA1-12C45D357490}">
          <x15:cacheHierarchy aggregatedColumn="9"/>
        </ext>
      </extLst>
    </cacheHierarchy>
  </cacheHierarchies>
  <kpis count="0"/>
  <dimensions count="2">
    <dimension name="Downtime" uniqueName="[Downtime]" caption="Downtime"/>
    <dimension measure="1" name="Measures" uniqueName="[Measures]" caption="Measures"/>
  </dimensions>
  <measureGroups count="1">
    <measureGroup name="Downtime" caption="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9.837004050925" backgroundQuery="1" createdVersion="8" refreshedVersion="8" minRefreshableVersion="3" recordCount="0" supportSubquery="1" supportAdvancedDrill="1" xr:uid="{3AC0AC59-59D2-4362-94A8-DA1A4659578C}">
  <cacheSource type="external" connectionId="5"/>
  <cacheFields count="3">
    <cacheField name="[Downtime].[Description].[Description]" caption="Description" numFmtId="0" hierarchy="5" level="1">
      <sharedItems count="5">
        <s v="Batch coding error"/>
        <s v="Inventory shortage"/>
        <s v="Machine adjustment"/>
        <s v="Machine failure"/>
        <s v="Other"/>
      </sharedItems>
    </cacheField>
    <cacheField name="[Measures].[Sum of Adjusted Value]" caption="Sum of Adjusted Value" numFmtId="0" hierarchy="20" level="32767"/>
    <cacheField name="[Downtime].[Operator].[Operator]" caption="Operator" numFmtId="0" hierarchy="8" level="1">
      <sharedItems containsSemiMixedTypes="0" containsNonDate="0" containsString="0"/>
    </cacheField>
  </cacheFields>
  <cacheHierarchies count="23">
    <cacheHierarchy uniqueName="[Downtime].[Date]" caption="Date" attribute="1" time="1" defaultMemberUniqueName="[Downtime].[Date].[All]" allUniqueName="[Downtime].[Date].[All]" dimensionUniqueName="[Downtime]" displayFolder="" count="0" memberValueDatatype="7" unbalanced="0"/>
    <cacheHierarchy uniqueName="[Downtime].[Batch]" caption="Batch" attribute="1" defaultMemberUniqueName="[Downtime].[Batch].[All]" allUniqueName="[Downtime].[Batch].[All]" dimensionUniqueName="[Downtime]" displayFolder="" count="0" memberValueDatatype="130" unbalanced="0"/>
    <cacheHierarchy uniqueName="[Downtime].[Product]" caption="Product" attribute="1" defaultMemberUniqueName="[Downtime].[Product].[All]" allUniqueName="[Downtime].[Product].[All]" dimensionUniqueName="[Downtime]" displayFolder="" count="2" memberValueDatatype="130" unbalanced="0"/>
    <cacheHierarchy uniqueName="[Downtime].[Downtime Factor]" caption="Downtime Factor" attribute="1" defaultMemberUniqueName="[Downtime].[Downtime Factor].[All]" allUniqueName="[Downtime].[Downtime Factor].[All]" dimensionUniqueName="[Downtime]" displayFolder="" count="0" memberValueDatatype="20" unbalanced="0"/>
    <cacheHierarchy uniqueName="[Downtime].[Downtime]" caption="Downtime" attribute="1" defaultMemberUniqueName="[Downtime].[Downtime].[All]" allUniqueName="[Downtime].[Downtime].[All]" dimensionUniqueName="[Downtime]" displayFolder="" count="0" memberValueDatatype="20" unbalanced="0"/>
    <cacheHierarchy uniqueName="[Downtime].[Description]" caption="Description" attribute="1" defaultMemberUniqueName="[Downtime].[Description].[All]" allUniqueName="[Downtime].[Description].[All]" dimensionUniqueName="[Downtime]" displayFolder="" count="2" memberValueDatatype="130" unbalanced="0">
      <fieldsUsage count="2">
        <fieldUsage x="-1"/>
        <fieldUsage x="0"/>
      </fieldsUsage>
    </cacheHierarchy>
    <cacheHierarchy uniqueName="[Downtime].[Operator Error]" caption="Operator Error" attribute="1" defaultMemberUniqueName="[Downtime].[Operator Error].[All]" allUniqueName="[Downtime].[Operator Error].[All]" dimensionUniqueName="[Downtime]" displayFolder="" count="0" memberValueDatatype="130" unbalanced="0"/>
    <cacheHierarchy uniqueName="[Downtime].[Adjusted Value]" caption="Adjusted Value" attribute="1" defaultMemberUniqueName="[Downtime].[Adjusted Value].[All]" allUniqueName="[Downtime].[Adjusted Value].[All]" dimensionUniqueName="[Downtime]" displayFolder="" count="0" memberValueDatatype="20" unbalanced="0"/>
    <cacheHierarchy uniqueName="[Downtime].[Operator]" caption="Operator" attribute="1" defaultMemberUniqueName="[Downtime].[Operator].[All]" allUniqueName="[Downtime].[Operator].[All]" dimensionUniqueName="[Downtime]" displayFolder="" count="2" memberValueDatatype="130" unbalanced="0">
      <fieldsUsage count="2">
        <fieldUsage x="-1"/>
        <fieldUsage x="2"/>
      </fieldsUsage>
    </cacheHierarchy>
    <cacheHierarchy uniqueName="[Downtime].[Production Time]" caption="Production Time" attribute="1" defaultMemberUniqueName="[Downtime].[Production Time].[All]" allUniqueName="[Downtime].[Production Time].[All]" dimensionUniqueName="[Downtime]" displayFolder="" count="0" memberValueDatatype="20" unbalanced="0"/>
    <cacheHierarchy uniqueName="[Downtime].[Flavor]" caption="Flavor" attribute="1" defaultMemberUniqueName="[Downtime].[Flavor].[All]" allUniqueName="[Downtime].[Flavor].[All]" dimensionUniqueName="[Downtime]" displayFolder="" count="2" memberValueDatatype="130" unbalanced="0"/>
    <cacheHierarchy uniqueName="[Downtime].[Size]" caption="Size" attribute="1" defaultMemberUniqueName="[Downtime].[Size].[All]" allUniqueName="[Downtime].[Size].[All]" dimensionUniqueName="[Downtime]" displayFolder="" count="0" memberValueDatatype="130" unbalanced="0"/>
    <cacheHierarchy uniqueName="[Downtime].[Min batch time]" caption="Min batch time" attribute="1" defaultMemberUniqueName="[Downtime].[Min batch time].[All]" allUniqueName="[Downtime].[Min batch time].[All]" dimensionUniqueName="[Downtime]" displayFolder="" count="0" memberValueDatatype="20" unbalanced="0"/>
    <cacheHierarchy uniqueName="[Downtime].[Date (Month)]" caption="Date (Month)" attribute="1" defaultMemberUniqueName="[Downtime].[Date (Month)].[All]" allUniqueName="[Downtime].[Date (Month)].[All]" dimensionUniqueName="[Downtime]" displayFolder="" count="0" memberValueDatatype="130" unbalanced="0"/>
    <cacheHierarchy uniqueName="[Downtime].[Date (Month Index)]" caption="Date (Month Index)" attribute="1" defaultMemberUniqueName="[Downtime].[Date (Month Index)].[All]" allUniqueName="[Downtime].[Date (Month Index)].[All]" dimensionUniqueName="[Downtime]" displayFolder="" count="0" memberValueDatatype="20" unbalanced="0" hidden="1"/>
    <cacheHierarchy uniqueName="[Measures].[__XL_Count Downtime]" caption="__XL_Count Downtime" measure="1" displayFolder="" measureGroup="Downtime" count="0" hidden="1"/>
    <cacheHierarchy uniqueName="[Measures].[__No measures defined]" caption="__No measures defined" measure="1" displayFolder="" count="0" hidden="1"/>
    <cacheHierarchy uniqueName="[Measures].[Count of Batch]" caption="Count of Batch" measure="1" displayFolder="" measureGroup="Downtime" count="0" hidden="1">
      <extLst>
        <ext xmlns:x15="http://schemas.microsoft.com/office/spreadsheetml/2010/11/main" uri="{B97F6D7D-B522-45F9-BDA1-12C45D357490}">
          <x15:cacheHierarchy aggregatedColumn="1"/>
        </ext>
      </extLst>
    </cacheHierarchy>
    <cacheHierarchy uniqueName="[Measures].[Distinct Count of Batch]" caption="Distinct Count of Batch" measure="1" displayFolder="" measureGroup="Downtime" count="0" hidden="1">
      <extLst>
        <ext xmlns:x15="http://schemas.microsoft.com/office/spreadsheetml/2010/11/main" uri="{B97F6D7D-B522-45F9-BDA1-12C45D357490}">
          <x15:cacheHierarchy aggregatedColumn="1"/>
        </ext>
      </extLst>
    </cacheHierarchy>
    <cacheHierarchy uniqueName="[Measures].[Count of Description]" caption="Count of Description" measure="1" displayFolder="" measureGroup="Downtime" count="0" hidden="1">
      <extLst>
        <ext xmlns:x15="http://schemas.microsoft.com/office/spreadsheetml/2010/11/main" uri="{B97F6D7D-B522-45F9-BDA1-12C45D357490}">
          <x15:cacheHierarchy aggregatedColumn="5"/>
        </ext>
      </extLst>
    </cacheHierarchy>
    <cacheHierarchy uniqueName="[Measures].[Sum of Adjusted Value]" caption="Sum of Adjusted Value" measure="1" displayFolder="" measureGroup="Downtim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owntime]" caption="Sum of Downtime" measure="1" displayFolder="" measureGroup="Downtime" count="0" hidden="1">
      <extLst>
        <ext xmlns:x15="http://schemas.microsoft.com/office/spreadsheetml/2010/11/main" uri="{B97F6D7D-B522-45F9-BDA1-12C45D357490}">
          <x15:cacheHierarchy aggregatedColumn="4"/>
        </ext>
      </extLst>
    </cacheHierarchy>
    <cacheHierarchy uniqueName="[Measures].[Sum of Production Time]" caption="Sum of Production Time" measure="1" displayFolder="" measureGroup="Downtime" count="0" hidden="1">
      <extLst>
        <ext xmlns:x15="http://schemas.microsoft.com/office/spreadsheetml/2010/11/main" uri="{B97F6D7D-B522-45F9-BDA1-12C45D357490}">
          <x15:cacheHierarchy aggregatedColumn="9"/>
        </ext>
      </extLst>
    </cacheHierarchy>
  </cacheHierarchies>
  <kpis count="0"/>
  <dimensions count="2">
    <dimension name="Downtime" uniqueName="[Downtime]" caption="Downtime"/>
    <dimension measure="1" name="Measures" uniqueName="[Measures]" caption="Measures"/>
  </dimensions>
  <measureGroups count="1">
    <measureGroup name="Downtime" caption="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9.837004745372" backgroundQuery="1" createdVersion="8" refreshedVersion="8" minRefreshableVersion="3" recordCount="0" supportSubquery="1" supportAdvancedDrill="1" xr:uid="{B7DC57A6-14E8-4774-8033-DCCBACAA0D30}">
  <cacheSource type="external" connectionId="5"/>
  <cacheFields count="3">
    <cacheField name="[Downtime].[Product].[Product]" caption="Product" numFmtId="0" hierarchy="2" level="1">
      <sharedItems count="6">
        <s v="CO-2L"/>
        <s v="CO-600"/>
        <s v="DC-600"/>
        <s v="LE-600"/>
        <s v="OR-600"/>
        <s v="RB-600"/>
      </sharedItems>
    </cacheField>
    <cacheField name="[Measures].[Sum of Adjusted Value]" caption="Sum of Adjusted Value" numFmtId="0" hierarchy="20" level="32767"/>
    <cacheField name="[Downtime].[Operator].[Operator]" caption="Operator" numFmtId="0" hierarchy="8" level="1">
      <sharedItems containsSemiMixedTypes="0" containsNonDate="0" containsString="0"/>
    </cacheField>
  </cacheFields>
  <cacheHierarchies count="23">
    <cacheHierarchy uniqueName="[Downtime].[Date]" caption="Date" attribute="1" time="1" defaultMemberUniqueName="[Downtime].[Date].[All]" allUniqueName="[Downtime].[Date].[All]" dimensionUniqueName="[Downtime]" displayFolder="" count="0" memberValueDatatype="7" unbalanced="0"/>
    <cacheHierarchy uniqueName="[Downtime].[Batch]" caption="Batch" attribute="1" defaultMemberUniqueName="[Downtime].[Batch].[All]" allUniqueName="[Downtime].[Batch].[All]" dimensionUniqueName="[Downtime]" displayFolder="" count="0" memberValueDatatype="130" unbalanced="0"/>
    <cacheHierarchy uniqueName="[Downtime].[Product]" caption="Product" attribute="1" defaultMemberUniqueName="[Downtime].[Product].[All]" allUniqueName="[Downtime].[Product].[All]" dimensionUniqueName="[Downtime]" displayFolder="" count="2" memberValueDatatype="130" unbalanced="0">
      <fieldsUsage count="2">
        <fieldUsage x="-1"/>
        <fieldUsage x="0"/>
      </fieldsUsage>
    </cacheHierarchy>
    <cacheHierarchy uniqueName="[Downtime].[Downtime Factor]" caption="Downtime Factor" attribute="1" defaultMemberUniqueName="[Downtime].[Downtime Factor].[All]" allUniqueName="[Downtime].[Downtime Factor].[All]" dimensionUniqueName="[Downtime]" displayFolder="" count="0" memberValueDatatype="20" unbalanced="0"/>
    <cacheHierarchy uniqueName="[Downtime].[Downtime]" caption="Downtime" attribute="1" defaultMemberUniqueName="[Downtime].[Downtime].[All]" allUniqueName="[Downtime].[Downtime].[All]" dimensionUniqueName="[Downtime]" displayFolder="" count="0" memberValueDatatype="20" unbalanced="0"/>
    <cacheHierarchy uniqueName="[Downtime].[Description]" caption="Description" attribute="1" defaultMemberUniqueName="[Downtime].[Description].[All]" allUniqueName="[Downtime].[Description].[All]" dimensionUniqueName="[Downtime]" displayFolder="" count="2" memberValueDatatype="130" unbalanced="0"/>
    <cacheHierarchy uniqueName="[Downtime].[Operator Error]" caption="Operator Error" attribute="1" defaultMemberUniqueName="[Downtime].[Operator Error].[All]" allUniqueName="[Downtime].[Operator Error].[All]" dimensionUniqueName="[Downtime]" displayFolder="" count="0" memberValueDatatype="130" unbalanced="0"/>
    <cacheHierarchy uniqueName="[Downtime].[Adjusted Value]" caption="Adjusted Value" attribute="1" defaultMemberUniqueName="[Downtime].[Adjusted Value].[All]" allUniqueName="[Downtime].[Adjusted Value].[All]" dimensionUniqueName="[Downtime]" displayFolder="" count="0" memberValueDatatype="20" unbalanced="0"/>
    <cacheHierarchy uniqueName="[Downtime].[Operator]" caption="Operator" attribute="1" defaultMemberUniqueName="[Downtime].[Operator].[All]" allUniqueName="[Downtime].[Operator].[All]" dimensionUniqueName="[Downtime]" displayFolder="" count="2" memberValueDatatype="130" unbalanced="0">
      <fieldsUsage count="2">
        <fieldUsage x="-1"/>
        <fieldUsage x="2"/>
      </fieldsUsage>
    </cacheHierarchy>
    <cacheHierarchy uniqueName="[Downtime].[Production Time]" caption="Production Time" attribute="1" defaultMemberUniqueName="[Downtime].[Production Time].[All]" allUniqueName="[Downtime].[Production Time].[All]" dimensionUniqueName="[Downtime]" displayFolder="" count="0" memberValueDatatype="20" unbalanced="0"/>
    <cacheHierarchy uniqueName="[Downtime].[Flavor]" caption="Flavor" attribute="1" defaultMemberUniqueName="[Downtime].[Flavor].[All]" allUniqueName="[Downtime].[Flavor].[All]" dimensionUniqueName="[Downtime]" displayFolder="" count="2" memberValueDatatype="130" unbalanced="0"/>
    <cacheHierarchy uniqueName="[Downtime].[Size]" caption="Size" attribute="1" defaultMemberUniqueName="[Downtime].[Size].[All]" allUniqueName="[Downtime].[Size].[All]" dimensionUniqueName="[Downtime]" displayFolder="" count="0" memberValueDatatype="130" unbalanced="0"/>
    <cacheHierarchy uniqueName="[Downtime].[Min batch time]" caption="Min batch time" attribute="1" defaultMemberUniqueName="[Downtime].[Min batch time].[All]" allUniqueName="[Downtime].[Min batch time].[All]" dimensionUniqueName="[Downtime]" displayFolder="" count="0" memberValueDatatype="20" unbalanced="0"/>
    <cacheHierarchy uniqueName="[Downtime].[Date (Month)]" caption="Date (Month)" attribute="1" defaultMemberUniqueName="[Downtime].[Date (Month)].[All]" allUniqueName="[Downtime].[Date (Month)].[All]" dimensionUniqueName="[Downtime]" displayFolder="" count="0" memberValueDatatype="130" unbalanced="0"/>
    <cacheHierarchy uniqueName="[Downtime].[Date (Month Index)]" caption="Date (Month Index)" attribute="1" defaultMemberUniqueName="[Downtime].[Date (Month Index)].[All]" allUniqueName="[Downtime].[Date (Month Index)].[All]" dimensionUniqueName="[Downtime]" displayFolder="" count="0" memberValueDatatype="20" unbalanced="0" hidden="1"/>
    <cacheHierarchy uniqueName="[Measures].[__XL_Count Downtime]" caption="__XL_Count Downtime" measure="1" displayFolder="" measureGroup="Downtime" count="0" hidden="1"/>
    <cacheHierarchy uniqueName="[Measures].[__No measures defined]" caption="__No measures defined" measure="1" displayFolder="" count="0" hidden="1"/>
    <cacheHierarchy uniqueName="[Measures].[Count of Batch]" caption="Count of Batch" measure="1" displayFolder="" measureGroup="Downtime" count="0" hidden="1">
      <extLst>
        <ext xmlns:x15="http://schemas.microsoft.com/office/spreadsheetml/2010/11/main" uri="{B97F6D7D-B522-45F9-BDA1-12C45D357490}">
          <x15:cacheHierarchy aggregatedColumn="1"/>
        </ext>
      </extLst>
    </cacheHierarchy>
    <cacheHierarchy uniqueName="[Measures].[Distinct Count of Batch]" caption="Distinct Count of Batch" measure="1" displayFolder="" measureGroup="Downtime" count="0" hidden="1">
      <extLst>
        <ext xmlns:x15="http://schemas.microsoft.com/office/spreadsheetml/2010/11/main" uri="{B97F6D7D-B522-45F9-BDA1-12C45D357490}">
          <x15:cacheHierarchy aggregatedColumn="1"/>
        </ext>
      </extLst>
    </cacheHierarchy>
    <cacheHierarchy uniqueName="[Measures].[Count of Description]" caption="Count of Description" measure="1" displayFolder="" measureGroup="Downtime" count="0" hidden="1">
      <extLst>
        <ext xmlns:x15="http://schemas.microsoft.com/office/spreadsheetml/2010/11/main" uri="{B97F6D7D-B522-45F9-BDA1-12C45D357490}">
          <x15:cacheHierarchy aggregatedColumn="5"/>
        </ext>
      </extLst>
    </cacheHierarchy>
    <cacheHierarchy uniqueName="[Measures].[Sum of Adjusted Value]" caption="Sum of Adjusted Value" measure="1" displayFolder="" measureGroup="Downtim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owntime]" caption="Sum of Downtime" measure="1" displayFolder="" measureGroup="Downtime" count="0" hidden="1">
      <extLst>
        <ext xmlns:x15="http://schemas.microsoft.com/office/spreadsheetml/2010/11/main" uri="{B97F6D7D-B522-45F9-BDA1-12C45D357490}">
          <x15:cacheHierarchy aggregatedColumn="4"/>
        </ext>
      </extLst>
    </cacheHierarchy>
    <cacheHierarchy uniqueName="[Measures].[Sum of Production Time]" caption="Sum of Production Time" measure="1" displayFolder="" measureGroup="Downtime" count="0" hidden="1">
      <extLst>
        <ext xmlns:x15="http://schemas.microsoft.com/office/spreadsheetml/2010/11/main" uri="{B97F6D7D-B522-45F9-BDA1-12C45D357490}">
          <x15:cacheHierarchy aggregatedColumn="9"/>
        </ext>
      </extLst>
    </cacheHierarchy>
  </cacheHierarchies>
  <kpis count="0"/>
  <dimensions count="2">
    <dimension name="Downtime" uniqueName="[Downtime]" caption="Downtime"/>
    <dimension measure="1" name="Measures" uniqueName="[Measures]" caption="Measures"/>
  </dimensions>
  <measureGroups count="1">
    <measureGroup name="Downtime" caption="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9.837006250003" backgroundQuery="1" createdVersion="8" refreshedVersion="8" minRefreshableVersion="3" recordCount="0" supportSubquery="1" supportAdvancedDrill="1" xr:uid="{4342BC27-5E44-4D31-997E-5D526A52D8D1}">
  <cacheSource type="external" connectionId="5"/>
  <cacheFields count="3">
    <cacheField name="[Measures].[Sum of Downtime]" caption="Sum of Downtime" numFmtId="0" hierarchy="21" level="32767"/>
    <cacheField name="[Downtime].[Flavor].[Flavor]" caption="Flavor" numFmtId="0" hierarchy="10" level="1">
      <sharedItems count="5">
        <s v="Cola"/>
        <s v="Diet Cola"/>
        <s v="Lemon lime"/>
        <s v="Orange"/>
        <s v="Root Beer"/>
      </sharedItems>
    </cacheField>
    <cacheField name="[Downtime].[Operator].[Operator]" caption="Operator" numFmtId="0" hierarchy="8" level="1">
      <sharedItems containsSemiMixedTypes="0" containsNonDate="0" containsString="0"/>
    </cacheField>
  </cacheFields>
  <cacheHierarchies count="23">
    <cacheHierarchy uniqueName="[Downtime].[Date]" caption="Date" attribute="1" time="1" defaultMemberUniqueName="[Downtime].[Date].[All]" allUniqueName="[Downtime].[Date].[All]" dimensionUniqueName="[Downtime]" displayFolder="" count="0" memberValueDatatype="7" unbalanced="0"/>
    <cacheHierarchy uniqueName="[Downtime].[Batch]" caption="Batch" attribute="1" defaultMemberUniqueName="[Downtime].[Batch].[All]" allUniqueName="[Downtime].[Batch].[All]" dimensionUniqueName="[Downtime]" displayFolder="" count="0" memberValueDatatype="130" unbalanced="0"/>
    <cacheHierarchy uniqueName="[Downtime].[Product]" caption="Product" attribute="1" defaultMemberUniqueName="[Downtime].[Product].[All]" allUniqueName="[Downtime].[Product].[All]" dimensionUniqueName="[Downtime]" displayFolder="" count="2" memberValueDatatype="130" unbalanced="0"/>
    <cacheHierarchy uniqueName="[Downtime].[Downtime Factor]" caption="Downtime Factor" attribute="1" defaultMemberUniqueName="[Downtime].[Downtime Factor].[All]" allUniqueName="[Downtime].[Downtime Factor].[All]" dimensionUniqueName="[Downtime]" displayFolder="" count="0" memberValueDatatype="20" unbalanced="0"/>
    <cacheHierarchy uniqueName="[Downtime].[Downtime]" caption="Downtime" attribute="1" defaultMemberUniqueName="[Downtime].[Downtime].[All]" allUniqueName="[Downtime].[Downtime].[All]" dimensionUniqueName="[Downtime]" displayFolder="" count="0" memberValueDatatype="20" unbalanced="0"/>
    <cacheHierarchy uniqueName="[Downtime].[Description]" caption="Description" attribute="1" defaultMemberUniqueName="[Downtime].[Description].[All]" allUniqueName="[Downtime].[Description].[All]" dimensionUniqueName="[Downtime]" displayFolder="" count="2" memberValueDatatype="130" unbalanced="0"/>
    <cacheHierarchy uniqueName="[Downtime].[Operator Error]" caption="Operator Error" attribute="1" defaultMemberUniqueName="[Downtime].[Operator Error].[All]" allUniqueName="[Downtime].[Operator Error].[All]" dimensionUniqueName="[Downtime]" displayFolder="" count="0" memberValueDatatype="130" unbalanced="0"/>
    <cacheHierarchy uniqueName="[Downtime].[Adjusted Value]" caption="Adjusted Value" attribute="1" defaultMemberUniqueName="[Downtime].[Adjusted Value].[All]" allUniqueName="[Downtime].[Adjusted Value].[All]" dimensionUniqueName="[Downtime]" displayFolder="" count="0" memberValueDatatype="20" unbalanced="0"/>
    <cacheHierarchy uniqueName="[Downtime].[Operator]" caption="Operator" attribute="1" defaultMemberUniqueName="[Downtime].[Operator].[All]" allUniqueName="[Downtime].[Operator].[All]" dimensionUniqueName="[Downtime]" displayFolder="" count="2" memberValueDatatype="130" unbalanced="0">
      <fieldsUsage count="2">
        <fieldUsage x="-1"/>
        <fieldUsage x="2"/>
      </fieldsUsage>
    </cacheHierarchy>
    <cacheHierarchy uniqueName="[Downtime].[Production Time]" caption="Production Time" attribute="1" defaultMemberUniqueName="[Downtime].[Production Time].[All]" allUniqueName="[Downtime].[Production Time].[All]" dimensionUniqueName="[Downtime]" displayFolder="" count="0" memberValueDatatype="20" unbalanced="0"/>
    <cacheHierarchy uniqueName="[Downtime].[Flavor]" caption="Flavor" attribute="1" defaultMemberUniqueName="[Downtime].[Flavor].[All]" allUniqueName="[Downtime].[Flavor].[All]" dimensionUniqueName="[Downtime]" displayFolder="" count="2" memberValueDatatype="130" unbalanced="0">
      <fieldsUsage count="2">
        <fieldUsage x="-1"/>
        <fieldUsage x="1"/>
      </fieldsUsage>
    </cacheHierarchy>
    <cacheHierarchy uniqueName="[Downtime].[Size]" caption="Size" attribute="1" defaultMemberUniqueName="[Downtime].[Size].[All]" allUniqueName="[Downtime].[Size].[All]" dimensionUniqueName="[Downtime]" displayFolder="" count="0" memberValueDatatype="130" unbalanced="0"/>
    <cacheHierarchy uniqueName="[Downtime].[Min batch time]" caption="Min batch time" attribute="1" defaultMemberUniqueName="[Downtime].[Min batch time].[All]" allUniqueName="[Downtime].[Min batch time].[All]" dimensionUniqueName="[Downtime]" displayFolder="" count="0" memberValueDatatype="20" unbalanced="0"/>
    <cacheHierarchy uniqueName="[Downtime].[Date (Month)]" caption="Date (Month)" attribute="1" defaultMemberUniqueName="[Downtime].[Date (Month)].[All]" allUniqueName="[Downtime].[Date (Month)].[All]" dimensionUniqueName="[Downtime]" displayFolder="" count="0" memberValueDatatype="130" unbalanced="0"/>
    <cacheHierarchy uniqueName="[Downtime].[Date (Month Index)]" caption="Date (Month Index)" attribute="1" defaultMemberUniqueName="[Downtime].[Date (Month Index)].[All]" allUniqueName="[Downtime].[Date (Month Index)].[All]" dimensionUniqueName="[Downtime]" displayFolder="" count="0" memberValueDatatype="20" unbalanced="0" hidden="1"/>
    <cacheHierarchy uniqueName="[Measures].[__XL_Count Downtime]" caption="__XL_Count Downtime" measure="1" displayFolder="" measureGroup="Downtime" count="0" hidden="1"/>
    <cacheHierarchy uniqueName="[Measures].[__No measures defined]" caption="__No measures defined" measure="1" displayFolder="" count="0" hidden="1"/>
    <cacheHierarchy uniqueName="[Measures].[Count of Batch]" caption="Count of Batch" measure="1" displayFolder="" measureGroup="Downtime" count="0" hidden="1">
      <extLst>
        <ext xmlns:x15="http://schemas.microsoft.com/office/spreadsheetml/2010/11/main" uri="{B97F6D7D-B522-45F9-BDA1-12C45D357490}">
          <x15:cacheHierarchy aggregatedColumn="1"/>
        </ext>
      </extLst>
    </cacheHierarchy>
    <cacheHierarchy uniqueName="[Measures].[Distinct Count of Batch]" caption="Distinct Count of Batch" measure="1" displayFolder="" measureGroup="Downtime" count="0" hidden="1">
      <extLst>
        <ext xmlns:x15="http://schemas.microsoft.com/office/spreadsheetml/2010/11/main" uri="{B97F6D7D-B522-45F9-BDA1-12C45D357490}">
          <x15:cacheHierarchy aggregatedColumn="1"/>
        </ext>
      </extLst>
    </cacheHierarchy>
    <cacheHierarchy uniqueName="[Measures].[Count of Description]" caption="Count of Description" measure="1" displayFolder="" measureGroup="Downtime" count="0" hidden="1">
      <extLst>
        <ext xmlns:x15="http://schemas.microsoft.com/office/spreadsheetml/2010/11/main" uri="{B97F6D7D-B522-45F9-BDA1-12C45D357490}">
          <x15:cacheHierarchy aggregatedColumn="5"/>
        </ext>
      </extLst>
    </cacheHierarchy>
    <cacheHierarchy uniqueName="[Measures].[Sum of Adjusted Value]" caption="Sum of Adjusted Value" measure="1" displayFolder="" measureGroup="Downtime" count="0" hidden="1">
      <extLst>
        <ext xmlns:x15="http://schemas.microsoft.com/office/spreadsheetml/2010/11/main" uri="{B97F6D7D-B522-45F9-BDA1-12C45D357490}">
          <x15:cacheHierarchy aggregatedColumn="7"/>
        </ext>
      </extLst>
    </cacheHierarchy>
    <cacheHierarchy uniqueName="[Measures].[Sum of Downtime]" caption="Sum of Downtime" measure="1" displayFolder="" measureGroup="Downtim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roduction Time]" caption="Sum of Production Time" measure="1" displayFolder="" measureGroup="Downtime" count="0" hidden="1">
      <extLst>
        <ext xmlns:x15="http://schemas.microsoft.com/office/spreadsheetml/2010/11/main" uri="{B97F6D7D-B522-45F9-BDA1-12C45D357490}">
          <x15:cacheHierarchy aggregatedColumn="9"/>
        </ext>
      </extLst>
    </cacheHierarchy>
  </cacheHierarchies>
  <kpis count="0"/>
  <dimensions count="2">
    <dimension name="Downtime" uniqueName="[Downtime]" caption="Downtime"/>
    <dimension measure="1" name="Measures" uniqueName="[Measures]" caption="Measures"/>
  </dimensions>
  <measureGroups count="1">
    <measureGroup name="Downtime" caption="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9.837006828704" backgroundQuery="1" createdVersion="8" refreshedVersion="8" minRefreshableVersion="3" recordCount="0" supportSubquery="1" supportAdvancedDrill="1" xr:uid="{DDC8F389-BA3A-4CC9-8D1E-301947F6E9A4}">
  <cacheSource type="external" connectionId="5"/>
  <cacheFields count="4">
    <cacheField name="[Downtime].[Product].[Product]" caption="Product" numFmtId="0" hierarchy="2" level="1">
      <sharedItems count="6">
        <s v="CO-2L"/>
        <s v="CO-600"/>
        <s v="DC-600"/>
        <s v="LE-600"/>
        <s v="OR-600"/>
        <s v="RB-600"/>
      </sharedItems>
    </cacheField>
    <cacheField name="[Measures].[Sum of Production Time]" caption="Sum of Production Time" numFmtId="0" hierarchy="22" level="32767"/>
    <cacheField name="[Measures].[Sum of Downtime]" caption="Sum of Downtime" numFmtId="0" hierarchy="21" level="32767"/>
    <cacheField name="[Downtime].[Operator].[Operator]" caption="Operator" numFmtId="0" hierarchy="8" level="1">
      <sharedItems containsSemiMixedTypes="0" containsNonDate="0" containsString="0"/>
    </cacheField>
  </cacheFields>
  <cacheHierarchies count="23">
    <cacheHierarchy uniqueName="[Downtime].[Date]" caption="Date" attribute="1" time="1" defaultMemberUniqueName="[Downtime].[Date].[All]" allUniqueName="[Downtime].[Date].[All]" dimensionUniqueName="[Downtime]" displayFolder="" count="0" memberValueDatatype="7" unbalanced="0"/>
    <cacheHierarchy uniqueName="[Downtime].[Batch]" caption="Batch" attribute="1" defaultMemberUniqueName="[Downtime].[Batch].[All]" allUniqueName="[Downtime].[Batch].[All]" dimensionUniqueName="[Downtime]" displayFolder="" count="0" memberValueDatatype="130" unbalanced="0"/>
    <cacheHierarchy uniqueName="[Downtime].[Product]" caption="Product" attribute="1" defaultMemberUniqueName="[Downtime].[Product].[All]" allUniqueName="[Downtime].[Product].[All]" dimensionUniqueName="[Downtime]" displayFolder="" count="2" memberValueDatatype="130" unbalanced="0">
      <fieldsUsage count="2">
        <fieldUsage x="-1"/>
        <fieldUsage x="0"/>
      </fieldsUsage>
    </cacheHierarchy>
    <cacheHierarchy uniqueName="[Downtime].[Downtime Factor]" caption="Downtime Factor" attribute="1" defaultMemberUniqueName="[Downtime].[Downtime Factor].[All]" allUniqueName="[Downtime].[Downtime Factor].[All]" dimensionUniqueName="[Downtime]" displayFolder="" count="0" memberValueDatatype="20" unbalanced="0"/>
    <cacheHierarchy uniqueName="[Downtime].[Downtime]" caption="Downtime" attribute="1" defaultMemberUniqueName="[Downtime].[Downtime].[All]" allUniqueName="[Downtime].[Downtime].[All]" dimensionUniqueName="[Downtime]" displayFolder="" count="0" memberValueDatatype="20" unbalanced="0"/>
    <cacheHierarchy uniqueName="[Downtime].[Description]" caption="Description" attribute="1" defaultMemberUniqueName="[Downtime].[Description].[All]" allUniqueName="[Downtime].[Description].[All]" dimensionUniqueName="[Downtime]" displayFolder="" count="2" memberValueDatatype="130" unbalanced="0"/>
    <cacheHierarchy uniqueName="[Downtime].[Operator Error]" caption="Operator Error" attribute="1" defaultMemberUniqueName="[Downtime].[Operator Error].[All]" allUniqueName="[Downtime].[Operator Error].[All]" dimensionUniqueName="[Downtime]" displayFolder="" count="0" memberValueDatatype="130" unbalanced="0"/>
    <cacheHierarchy uniqueName="[Downtime].[Adjusted Value]" caption="Adjusted Value" attribute="1" defaultMemberUniqueName="[Downtime].[Adjusted Value].[All]" allUniqueName="[Downtime].[Adjusted Value].[All]" dimensionUniqueName="[Downtime]" displayFolder="" count="0" memberValueDatatype="20" unbalanced="0"/>
    <cacheHierarchy uniqueName="[Downtime].[Operator]" caption="Operator" attribute="1" defaultMemberUniqueName="[Downtime].[Operator].[All]" allUniqueName="[Downtime].[Operator].[All]" dimensionUniqueName="[Downtime]" displayFolder="" count="2" memberValueDatatype="130" unbalanced="0">
      <fieldsUsage count="2">
        <fieldUsage x="-1"/>
        <fieldUsage x="3"/>
      </fieldsUsage>
    </cacheHierarchy>
    <cacheHierarchy uniqueName="[Downtime].[Production Time]" caption="Production Time" attribute="1" defaultMemberUniqueName="[Downtime].[Production Time].[All]" allUniqueName="[Downtime].[Production Time].[All]" dimensionUniqueName="[Downtime]" displayFolder="" count="0" memberValueDatatype="20" unbalanced="0"/>
    <cacheHierarchy uniqueName="[Downtime].[Flavor]" caption="Flavor" attribute="1" defaultMemberUniqueName="[Downtime].[Flavor].[All]" allUniqueName="[Downtime].[Flavor].[All]" dimensionUniqueName="[Downtime]" displayFolder="" count="2" memberValueDatatype="130" unbalanced="0"/>
    <cacheHierarchy uniqueName="[Downtime].[Size]" caption="Size" attribute="1" defaultMemberUniqueName="[Downtime].[Size].[All]" allUniqueName="[Downtime].[Size].[All]" dimensionUniqueName="[Downtime]" displayFolder="" count="0" memberValueDatatype="130" unbalanced="0"/>
    <cacheHierarchy uniqueName="[Downtime].[Min batch time]" caption="Min batch time" attribute="1" defaultMemberUniqueName="[Downtime].[Min batch time].[All]" allUniqueName="[Downtime].[Min batch time].[All]" dimensionUniqueName="[Downtime]" displayFolder="" count="0" memberValueDatatype="20" unbalanced="0"/>
    <cacheHierarchy uniqueName="[Downtime].[Date (Month)]" caption="Date (Month)" attribute="1" defaultMemberUniqueName="[Downtime].[Date (Month)].[All]" allUniqueName="[Downtime].[Date (Month)].[All]" dimensionUniqueName="[Downtime]" displayFolder="" count="0" memberValueDatatype="130" unbalanced="0"/>
    <cacheHierarchy uniqueName="[Downtime].[Date (Month Index)]" caption="Date (Month Index)" attribute="1" defaultMemberUniqueName="[Downtime].[Date (Month Index)].[All]" allUniqueName="[Downtime].[Date (Month Index)].[All]" dimensionUniqueName="[Downtime]" displayFolder="" count="0" memberValueDatatype="20" unbalanced="0" hidden="1"/>
    <cacheHierarchy uniqueName="[Measures].[__XL_Count Downtime]" caption="__XL_Count Downtime" measure="1" displayFolder="" measureGroup="Downtime" count="0" hidden="1"/>
    <cacheHierarchy uniqueName="[Measures].[__No measures defined]" caption="__No measures defined" measure="1" displayFolder="" count="0" hidden="1"/>
    <cacheHierarchy uniqueName="[Measures].[Count of Batch]" caption="Count of Batch" measure="1" displayFolder="" measureGroup="Downtime" count="0" hidden="1">
      <extLst>
        <ext xmlns:x15="http://schemas.microsoft.com/office/spreadsheetml/2010/11/main" uri="{B97F6D7D-B522-45F9-BDA1-12C45D357490}">
          <x15:cacheHierarchy aggregatedColumn="1"/>
        </ext>
      </extLst>
    </cacheHierarchy>
    <cacheHierarchy uniqueName="[Measures].[Distinct Count of Batch]" caption="Distinct Count of Batch" measure="1" displayFolder="" measureGroup="Downtime" count="0" hidden="1">
      <extLst>
        <ext xmlns:x15="http://schemas.microsoft.com/office/spreadsheetml/2010/11/main" uri="{B97F6D7D-B522-45F9-BDA1-12C45D357490}">
          <x15:cacheHierarchy aggregatedColumn="1"/>
        </ext>
      </extLst>
    </cacheHierarchy>
    <cacheHierarchy uniqueName="[Measures].[Count of Description]" caption="Count of Description" measure="1" displayFolder="" measureGroup="Downtime" count="0" hidden="1">
      <extLst>
        <ext xmlns:x15="http://schemas.microsoft.com/office/spreadsheetml/2010/11/main" uri="{B97F6D7D-B522-45F9-BDA1-12C45D357490}">
          <x15:cacheHierarchy aggregatedColumn="5"/>
        </ext>
      </extLst>
    </cacheHierarchy>
    <cacheHierarchy uniqueName="[Measures].[Sum of Adjusted Value]" caption="Sum of Adjusted Value" measure="1" displayFolder="" measureGroup="Downtime" count="0" hidden="1">
      <extLst>
        <ext xmlns:x15="http://schemas.microsoft.com/office/spreadsheetml/2010/11/main" uri="{B97F6D7D-B522-45F9-BDA1-12C45D357490}">
          <x15:cacheHierarchy aggregatedColumn="7"/>
        </ext>
      </extLst>
    </cacheHierarchy>
    <cacheHierarchy uniqueName="[Measures].[Sum of Downtime]" caption="Sum of Downtime" measure="1" displayFolder="" measureGroup="Downtim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Production Time]" caption="Sum of Production Time" measure="1" displayFolder="" measureGroup="Downtim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name="Downtime" uniqueName="[Downtime]" caption="Downtime"/>
    <dimension measure="1" name="Measures" uniqueName="[Measures]" caption="Measures"/>
  </dimensions>
  <measureGroups count="1">
    <measureGroup name="Downtime" caption="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9.837007638889" backgroundQuery="1" createdVersion="8" refreshedVersion="8" minRefreshableVersion="3" recordCount="0" supportSubquery="1" supportAdvancedDrill="1" xr:uid="{14852C06-D3AC-460C-8321-8B417711BF79}">
  <cacheSource type="external" connectionId="5"/>
  <cacheFields count="4">
    <cacheField name="[Downtime].[Product].[Product]" caption="Product" numFmtId="0" hierarchy="2" level="1">
      <sharedItems count="6">
        <s v="CO-2L"/>
        <s v="CO-600"/>
        <s v="DC-600"/>
        <s v="LE-600"/>
        <s v="OR-600"/>
        <s v="RB-600"/>
      </sharedItems>
    </cacheField>
    <cacheField name="[Measures].[Sum of Production Time]" caption="Sum of Production Time" numFmtId="0" hierarchy="22" level="32767"/>
    <cacheField name="[Measures].[Sum of Downtime]" caption="Sum of Downtime" numFmtId="0" hierarchy="21" level="32767"/>
    <cacheField name="[Downtime].[Operator].[Operator]" caption="Operator" numFmtId="0" hierarchy="8" level="1">
      <sharedItems containsSemiMixedTypes="0" containsNonDate="0" containsString="0"/>
    </cacheField>
  </cacheFields>
  <cacheHierarchies count="23">
    <cacheHierarchy uniqueName="[Downtime].[Date]" caption="Date" attribute="1" time="1" defaultMemberUniqueName="[Downtime].[Date].[All]" allUniqueName="[Downtime].[Date].[All]" dimensionUniqueName="[Downtime]" displayFolder="" count="0" memberValueDatatype="7" unbalanced="0"/>
    <cacheHierarchy uniqueName="[Downtime].[Batch]" caption="Batch" attribute="1" defaultMemberUniqueName="[Downtime].[Batch].[All]" allUniqueName="[Downtime].[Batch].[All]" dimensionUniqueName="[Downtime]" displayFolder="" count="0" memberValueDatatype="130" unbalanced="0"/>
    <cacheHierarchy uniqueName="[Downtime].[Product]" caption="Product" attribute="1" defaultMemberUniqueName="[Downtime].[Product].[All]" allUniqueName="[Downtime].[Product].[All]" dimensionUniqueName="[Downtime]" displayFolder="" count="2" memberValueDatatype="130" unbalanced="0">
      <fieldsUsage count="2">
        <fieldUsage x="-1"/>
        <fieldUsage x="0"/>
      </fieldsUsage>
    </cacheHierarchy>
    <cacheHierarchy uniqueName="[Downtime].[Downtime Factor]" caption="Downtime Factor" attribute="1" defaultMemberUniqueName="[Downtime].[Downtime Factor].[All]" allUniqueName="[Downtime].[Downtime Factor].[All]" dimensionUniqueName="[Downtime]" displayFolder="" count="0" memberValueDatatype="20" unbalanced="0"/>
    <cacheHierarchy uniqueName="[Downtime].[Downtime]" caption="Downtime" attribute="1" defaultMemberUniqueName="[Downtime].[Downtime].[All]" allUniqueName="[Downtime].[Downtime].[All]" dimensionUniqueName="[Downtime]" displayFolder="" count="0" memberValueDatatype="20" unbalanced="0"/>
    <cacheHierarchy uniqueName="[Downtime].[Description]" caption="Description" attribute="1" defaultMemberUniqueName="[Downtime].[Description].[All]" allUniqueName="[Downtime].[Description].[All]" dimensionUniqueName="[Downtime]" displayFolder="" count="2" memberValueDatatype="130" unbalanced="0"/>
    <cacheHierarchy uniqueName="[Downtime].[Operator Error]" caption="Operator Error" attribute="1" defaultMemberUniqueName="[Downtime].[Operator Error].[All]" allUniqueName="[Downtime].[Operator Error].[All]" dimensionUniqueName="[Downtime]" displayFolder="" count="0" memberValueDatatype="130" unbalanced="0"/>
    <cacheHierarchy uniqueName="[Downtime].[Adjusted Value]" caption="Adjusted Value" attribute="1" defaultMemberUniqueName="[Downtime].[Adjusted Value].[All]" allUniqueName="[Downtime].[Adjusted Value].[All]" dimensionUniqueName="[Downtime]" displayFolder="" count="0" memberValueDatatype="20" unbalanced="0"/>
    <cacheHierarchy uniqueName="[Downtime].[Operator]" caption="Operator" attribute="1" defaultMemberUniqueName="[Downtime].[Operator].[All]" allUniqueName="[Downtime].[Operator].[All]" dimensionUniqueName="[Downtime]" displayFolder="" count="2" memberValueDatatype="130" unbalanced="0">
      <fieldsUsage count="2">
        <fieldUsage x="-1"/>
        <fieldUsage x="3"/>
      </fieldsUsage>
    </cacheHierarchy>
    <cacheHierarchy uniqueName="[Downtime].[Production Time]" caption="Production Time" attribute="1" defaultMemberUniqueName="[Downtime].[Production Time].[All]" allUniqueName="[Downtime].[Production Time].[All]" dimensionUniqueName="[Downtime]" displayFolder="" count="0" memberValueDatatype="20" unbalanced="0"/>
    <cacheHierarchy uniqueName="[Downtime].[Flavor]" caption="Flavor" attribute="1" defaultMemberUniqueName="[Downtime].[Flavor].[All]" allUniqueName="[Downtime].[Flavor].[All]" dimensionUniqueName="[Downtime]" displayFolder="" count="2" memberValueDatatype="130" unbalanced="0"/>
    <cacheHierarchy uniqueName="[Downtime].[Size]" caption="Size" attribute="1" defaultMemberUniqueName="[Downtime].[Size].[All]" allUniqueName="[Downtime].[Size].[All]" dimensionUniqueName="[Downtime]" displayFolder="" count="0" memberValueDatatype="130" unbalanced="0"/>
    <cacheHierarchy uniqueName="[Downtime].[Min batch time]" caption="Min batch time" attribute="1" defaultMemberUniqueName="[Downtime].[Min batch time].[All]" allUniqueName="[Downtime].[Min batch time].[All]" dimensionUniqueName="[Downtime]" displayFolder="" count="0" memberValueDatatype="20" unbalanced="0"/>
    <cacheHierarchy uniqueName="[Downtime].[Date (Month)]" caption="Date (Month)" attribute="1" defaultMemberUniqueName="[Downtime].[Date (Month)].[All]" allUniqueName="[Downtime].[Date (Month)].[All]" dimensionUniqueName="[Downtime]" displayFolder="" count="0" memberValueDatatype="130" unbalanced="0"/>
    <cacheHierarchy uniqueName="[Downtime].[Date (Month Index)]" caption="Date (Month Index)" attribute="1" defaultMemberUniqueName="[Downtime].[Date (Month Index)].[All]" allUniqueName="[Downtime].[Date (Month Index)].[All]" dimensionUniqueName="[Downtime]" displayFolder="" count="0" memberValueDatatype="20" unbalanced="0" hidden="1"/>
    <cacheHierarchy uniqueName="[Measures].[__XL_Count Downtime]" caption="__XL_Count Downtime" measure="1" displayFolder="" measureGroup="Downtime" count="0" hidden="1"/>
    <cacheHierarchy uniqueName="[Measures].[__No measures defined]" caption="__No measures defined" measure="1" displayFolder="" count="0" hidden="1"/>
    <cacheHierarchy uniqueName="[Measures].[Count of Batch]" caption="Count of Batch" measure="1" displayFolder="" measureGroup="Downtime" count="0" hidden="1">
      <extLst>
        <ext xmlns:x15="http://schemas.microsoft.com/office/spreadsheetml/2010/11/main" uri="{B97F6D7D-B522-45F9-BDA1-12C45D357490}">
          <x15:cacheHierarchy aggregatedColumn="1"/>
        </ext>
      </extLst>
    </cacheHierarchy>
    <cacheHierarchy uniqueName="[Measures].[Distinct Count of Batch]" caption="Distinct Count of Batch" measure="1" displayFolder="" measureGroup="Downtime" count="0" hidden="1">
      <extLst>
        <ext xmlns:x15="http://schemas.microsoft.com/office/spreadsheetml/2010/11/main" uri="{B97F6D7D-B522-45F9-BDA1-12C45D357490}">
          <x15:cacheHierarchy aggregatedColumn="1"/>
        </ext>
      </extLst>
    </cacheHierarchy>
    <cacheHierarchy uniqueName="[Measures].[Count of Description]" caption="Count of Description" measure="1" displayFolder="" measureGroup="Downtime" count="0" hidden="1">
      <extLst>
        <ext xmlns:x15="http://schemas.microsoft.com/office/spreadsheetml/2010/11/main" uri="{B97F6D7D-B522-45F9-BDA1-12C45D357490}">
          <x15:cacheHierarchy aggregatedColumn="5"/>
        </ext>
      </extLst>
    </cacheHierarchy>
    <cacheHierarchy uniqueName="[Measures].[Sum of Adjusted Value]" caption="Sum of Adjusted Value" measure="1" displayFolder="" measureGroup="Downtime" count="0" hidden="1">
      <extLst>
        <ext xmlns:x15="http://schemas.microsoft.com/office/spreadsheetml/2010/11/main" uri="{B97F6D7D-B522-45F9-BDA1-12C45D357490}">
          <x15:cacheHierarchy aggregatedColumn="7"/>
        </ext>
      </extLst>
    </cacheHierarchy>
    <cacheHierarchy uniqueName="[Measures].[Sum of Downtime]" caption="Sum of Downtime" measure="1" displayFolder="" measureGroup="Downtim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Production Time]" caption="Sum of Production Time" measure="1" displayFolder="" measureGroup="Downtim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name="Downtime" uniqueName="[Downtime]" caption="Downtime"/>
    <dimension measure="1" name="Measures" uniqueName="[Measures]" caption="Measures"/>
  </dimensions>
  <measureGroups count="1">
    <measureGroup name="Downtime" caption="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9.837005555557" backgroundQuery="1" createdVersion="8" refreshedVersion="8" minRefreshableVersion="3" recordCount="0" supportSubquery="1" supportAdvancedDrill="1" xr:uid="{E4773D85-B988-4C63-8232-E6D29EEA7085}">
  <cacheSource type="external" connectionId="5"/>
  <cacheFields count="2">
    <cacheField name="[Downtime].[Operator].[Operator]" caption="Operator" numFmtId="0" hierarchy="8" level="1">
      <sharedItems count="4">
        <s v="Charlie"/>
        <s v="Dee"/>
        <s v="Dennis"/>
        <s v="Mac"/>
      </sharedItems>
    </cacheField>
    <cacheField name="[Measures].[Sum of Adjusted Value]" caption="Sum of Adjusted Value" numFmtId="0" hierarchy="20" level="32767"/>
  </cacheFields>
  <cacheHierarchies count="23">
    <cacheHierarchy uniqueName="[Downtime].[Date]" caption="Date" attribute="1" time="1" defaultMemberUniqueName="[Downtime].[Date].[All]" allUniqueName="[Downtime].[Date].[All]" dimensionUniqueName="[Downtime]" displayFolder="" count="0" memberValueDatatype="7" unbalanced="0"/>
    <cacheHierarchy uniqueName="[Downtime].[Batch]" caption="Batch" attribute="1" defaultMemberUniqueName="[Downtime].[Batch].[All]" allUniqueName="[Downtime].[Batch].[All]" dimensionUniqueName="[Downtime]" displayFolder="" count="0" memberValueDatatype="130" unbalanced="0"/>
    <cacheHierarchy uniqueName="[Downtime].[Product]" caption="Product" attribute="1" defaultMemberUniqueName="[Downtime].[Product].[All]" allUniqueName="[Downtime].[Product].[All]" dimensionUniqueName="[Downtime]" displayFolder="" count="2" memberValueDatatype="130" unbalanced="0"/>
    <cacheHierarchy uniqueName="[Downtime].[Downtime Factor]" caption="Downtime Factor" attribute="1" defaultMemberUniqueName="[Downtime].[Downtime Factor].[All]" allUniqueName="[Downtime].[Downtime Factor].[All]" dimensionUniqueName="[Downtime]" displayFolder="" count="0" memberValueDatatype="20" unbalanced="0"/>
    <cacheHierarchy uniqueName="[Downtime].[Downtime]" caption="Downtime" attribute="1" defaultMemberUniqueName="[Downtime].[Downtime].[All]" allUniqueName="[Downtime].[Downtime].[All]" dimensionUniqueName="[Downtime]" displayFolder="" count="0" memberValueDatatype="20" unbalanced="0"/>
    <cacheHierarchy uniqueName="[Downtime].[Description]" caption="Description" attribute="1" defaultMemberUniqueName="[Downtime].[Description].[All]" allUniqueName="[Downtime].[Description].[All]" dimensionUniqueName="[Downtime]" displayFolder="" count="2" memberValueDatatype="130" unbalanced="0"/>
    <cacheHierarchy uniqueName="[Downtime].[Operator Error]" caption="Operator Error" attribute="1" defaultMemberUniqueName="[Downtime].[Operator Error].[All]" allUniqueName="[Downtime].[Operator Error].[All]" dimensionUniqueName="[Downtime]" displayFolder="" count="0" memberValueDatatype="130" unbalanced="0"/>
    <cacheHierarchy uniqueName="[Downtime].[Adjusted Value]" caption="Adjusted Value" attribute="1" defaultMemberUniqueName="[Downtime].[Adjusted Value].[All]" allUniqueName="[Downtime].[Adjusted Value].[All]" dimensionUniqueName="[Downtime]" displayFolder="" count="0" memberValueDatatype="20" unbalanced="0"/>
    <cacheHierarchy uniqueName="[Downtime].[Operator]" caption="Operator" attribute="1" defaultMemberUniqueName="[Downtime].[Operator].[All]" allUniqueName="[Downtime].[Operator].[All]" dimensionUniqueName="[Downtime]" displayFolder="" count="2" memberValueDatatype="130" unbalanced="0">
      <fieldsUsage count="2">
        <fieldUsage x="-1"/>
        <fieldUsage x="0"/>
      </fieldsUsage>
    </cacheHierarchy>
    <cacheHierarchy uniqueName="[Downtime].[Production Time]" caption="Production Time" attribute="1" defaultMemberUniqueName="[Downtime].[Production Time].[All]" allUniqueName="[Downtime].[Production Time].[All]" dimensionUniqueName="[Downtime]" displayFolder="" count="0" memberValueDatatype="20" unbalanced="0"/>
    <cacheHierarchy uniqueName="[Downtime].[Flavor]" caption="Flavor" attribute="1" defaultMemberUniqueName="[Downtime].[Flavor].[All]" allUniqueName="[Downtime].[Flavor].[All]" dimensionUniqueName="[Downtime]" displayFolder="" count="2" memberValueDatatype="130" unbalanced="0"/>
    <cacheHierarchy uniqueName="[Downtime].[Size]" caption="Size" attribute="1" defaultMemberUniqueName="[Downtime].[Size].[All]" allUniqueName="[Downtime].[Size].[All]" dimensionUniqueName="[Downtime]" displayFolder="" count="0" memberValueDatatype="130" unbalanced="0"/>
    <cacheHierarchy uniqueName="[Downtime].[Min batch time]" caption="Min batch time" attribute="1" defaultMemberUniqueName="[Downtime].[Min batch time].[All]" allUniqueName="[Downtime].[Min batch time].[All]" dimensionUniqueName="[Downtime]" displayFolder="" count="0" memberValueDatatype="20" unbalanced="0"/>
    <cacheHierarchy uniqueName="[Downtime].[Date (Month)]" caption="Date (Month)" attribute="1" defaultMemberUniqueName="[Downtime].[Date (Month)].[All]" allUniqueName="[Downtime].[Date (Month)].[All]" dimensionUniqueName="[Downtime]" displayFolder="" count="0" memberValueDatatype="130" unbalanced="0"/>
    <cacheHierarchy uniqueName="[Downtime].[Date (Month Index)]" caption="Date (Month Index)" attribute="1" defaultMemberUniqueName="[Downtime].[Date (Month Index)].[All]" allUniqueName="[Downtime].[Date (Month Index)].[All]" dimensionUniqueName="[Downtime]" displayFolder="" count="0" memberValueDatatype="20" unbalanced="0" hidden="1"/>
    <cacheHierarchy uniqueName="[Measures].[__XL_Count Downtime]" caption="__XL_Count Downtime" measure="1" displayFolder="" measureGroup="Downtime" count="0" hidden="1"/>
    <cacheHierarchy uniqueName="[Measures].[__No measures defined]" caption="__No measures defined" measure="1" displayFolder="" count="0" hidden="1"/>
    <cacheHierarchy uniqueName="[Measures].[Count of Batch]" caption="Count of Batch" measure="1" displayFolder="" measureGroup="Downtime" count="0" hidden="1">
      <extLst>
        <ext xmlns:x15="http://schemas.microsoft.com/office/spreadsheetml/2010/11/main" uri="{B97F6D7D-B522-45F9-BDA1-12C45D357490}">
          <x15:cacheHierarchy aggregatedColumn="1"/>
        </ext>
      </extLst>
    </cacheHierarchy>
    <cacheHierarchy uniqueName="[Measures].[Distinct Count of Batch]" caption="Distinct Count of Batch" measure="1" displayFolder="" measureGroup="Downtime" count="0" hidden="1">
      <extLst>
        <ext xmlns:x15="http://schemas.microsoft.com/office/spreadsheetml/2010/11/main" uri="{B97F6D7D-B522-45F9-BDA1-12C45D357490}">
          <x15:cacheHierarchy aggregatedColumn="1"/>
        </ext>
      </extLst>
    </cacheHierarchy>
    <cacheHierarchy uniqueName="[Measures].[Count of Description]" caption="Count of Description" measure="1" displayFolder="" measureGroup="Downtime" count="0" hidden="1">
      <extLst>
        <ext xmlns:x15="http://schemas.microsoft.com/office/spreadsheetml/2010/11/main" uri="{B97F6D7D-B522-45F9-BDA1-12C45D357490}">
          <x15:cacheHierarchy aggregatedColumn="5"/>
        </ext>
      </extLst>
    </cacheHierarchy>
    <cacheHierarchy uniqueName="[Measures].[Sum of Adjusted Value]" caption="Sum of Adjusted Value" measure="1" displayFolder="" measureGroup="Downtim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owntime]" caption="Sum of Downtime" measure="1" displayFolder="" measureGroup="Downtime" count="0" hidden="1">
      <extLst>
        <ext xmlns:x15="http://schemas.microsoft.com/office/spreadsheetml/2010/11/main" uri="{B97F6D7D-B522-45F9-BDA1-12C45D357490}">
          <x15:cacheHierarchy aggregatedColumn="4"/>
        </ext>
      </extLst>
    </cacheHierarchy>
    <cacheHierarchy uniqueName="[Measures].[Sum of Production Time]" caption="Sum of Production Time" measure="1" displayFolder="" measureGroup="Downtime" count="0" hidden="1">
      <extLst>
        <ext xmlns:x15="http://schemas.microsoft.com/office/spreadsheetml/2010/11/main" uri="{B97F6D7D-B522-45F9-BDA1-12C45D357490}">
          <x15:cacheHierarchy aggregatedColumn="9"/>
        </ext>
      </extLst>
    </cacheHierarchy>
  </cacheHierarchies>
  <kpis count="0"/>
  <dimensions count="2">
    <dimension name="Downtime" uniqueName="[Downtime]" caption="Downtime"/>
    <dimension measure="1" name="Measures" uniqueName="[Measures]" caption="Measures"/>
  </dimensions>
  <measureGroups count="1">
    <measureGroup name="Downtime" caption="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9.834890625003" backgroundQuery="1" createdVersion="3" refreshedVersion="8" minRefreshableVersion="3" recordCount="0" supportSubquery="1" supportAdvancedDrill="1" xr:uid="{C0C25E7D-424C-4259-9EE6-F8DC73A1D551}">
  <cacheSource type="external" connectionId="5">
    <extLst>
      <ext xmlns:x14="http://schemas.microsoft.com/office/spreadsheetml/2009/9/main" uri="{F057638F-6D5F-4e77-A914-E7F072B9BCA8}">
        <x14:sourceConnection name="ThisWorkbookDataModel"/>
      </ext>
    </extLst>
  </cacheSource>
  <cacheFields count="0"/>
  <cacheHierarchies count="23">
    <cacheHierarchy uniqueName="[Downtime].[Date]" caption="Date" attribute="1" time="1" defaultMemberUniqueName="[Downtime].[Date].[All]" allUniqueName="[Downtime].[Date].[All]" dimensionUniqueName="[Downtime]" displayFolder="" count="0" memberValueDatatype="7" unbalanced="0"/>
    <cacheHierarchy uniqueName="[Downtime].[Batch]" caption="Batch" attribute="1" defaultMemberUniqueName="[Downtime].[Batch].[All]" allUniqueName="[Downtime].[Batch].[All]" dimensionUniqueName="[Downtime]" displayFolder="" count="0" memberValueDatatype="130" unbalanced="0"/>
    <cacheHierarchy uniqueName="[Downtime].[Product]" caption="Product" attribute="1" defaultMemberUniqueName="[Downtime].[Product].[All]" allUniqueName="[Downtime].[Product].[All]" dimensionUniqueName="[Downtime]" displayFolder="" count="0" memberValueDatatype="130" unbalanced="0"/>
    <cacheHierarchy uniqueName="[Downtime].[Downtime Factor]" caption="Downtime Factor" attribute="1" defaultMemberUniqueName="[Downtime].[Downtime Factor].[All]" allUniqueName="[Downtime].[Downtime Factor].[All]" dimensionUniqueName="[Downtime]" displayFolder="" count="0" memberValueDatatype="20" unbalanced="0"/>
    <cacheHierarchy uniqueName="[Downtime].[Downtime]" caption="Downtime" attribute="1" defaultMemberUniqueName="[Downtime].[Downtime].[All]" allUniqueName="[Downtime].[Downtime].[All]" dimensionUniqueName="[Downtime]" displayFolder="" count="0" memberValueDatatype="20" unbalanced="0"/>
    <cacheHierarchy uniqueName="[Downtime].[Description]" caption="Description" attribute="1" defaultMemberUniqueName="[Downtime].[Description].[All]" allUniqueName="[Downtime].[Description].[All]" dimensionUniqueName="[Downtime]" displayFolder="" count="2" memberValueDatatype="130" unbalanced="0"/>
    <cacheHierarchy uniqueName="[Downtime].[Operator Error]" caption="Operator Error" attribute="1" defaultMemberUniqueName="[Downtime].[Operator Error].[All]" allUniqueName="[Downtime].[Operator Error].[All]" dimensionUniqueName="[Downtime]" displayFolder="" count="0" memberValueDatatype="130" unbalanced="0"/>
    <cacheHierarchy uniqueName="[Downtime].[Adjusted Value]" caption="Adjusted Value" attribute="1" defaultMemberUniqueName="[Downtime].[Adjusted Value].[All]" allUniqueName="[Downtime].[Adjusted Value].[All]" dimensionUniqueName="[Downtime]" displayFolder="" count="0" memberValueDatatype="20" unbalanced="0"/>
    <cacheHierarchy uniqueName="[Downtime].[Operator]" caption="Operator" attribute="1" defaultMemberUniqueName="[Downtime].[Operator].[All]" allUniqueName="[Downtime].[Operator].[All]" dimensionUniqueName="[Downtime]" displayFolder="" count="2" memberValueDatatype="130" unbalanced="0"/>
    <cacheHierarchy uniqueName="[Downtime].[Production Time]" caption="Production Time" attribute="1" defaultMemberUniqueName="[Downtime].[Production Time].[All]" allUniqueName="[Downtime].[Production Time].[All]" dimensionUniqueName="[Downtime]" displayFolder="" count="0" memberValueDatatype="20" unbalanced="0"/>
    <cacheHierarchy uniqueName="[Downtime].[Flavor]" caption="Flavor" attribute="1" defaultMemberUniqueName="[Downtime].[Flavor].[All]" allUniqueName="[Downtime].[Flavor].[All]" dimensionUniqueName="[Downtime]" displayFolder="" count="0" memberValueDatatype="130" unbalanced="0"/>
    <cacheHierarchy uniqueName="[Downtime].[Size]" caption="Size" attribute="1" defaultMemberUniqueName="[Downtime].[Size].[All]" allUniqueName="[Downtime].[Size].[All]" dimensionUniqueName="[Downtime]" displayFolder="" count="0" memberValueDatatype="130" unbalanced="0"/>
    <cacheHierarchy uniqueName="[Downtime].[Min batch time]" caption="Min batch time" attribute="1" defaultMemberUniqueName="[Downtime].[Min batch time].[All]" allUniqueName="[Downtime].[Min batch time].[All]" dimensionUniqueName="[Downtime]" displayFolder="" count="0" memberValueDatatype="20" unbalanced="0"/>
    <cacheHierarchy uniqueName="[Downtime].[Date (Month)]" caption="Date (Month)" attribute="1" defaultMemberUniqueName="[Downtime].[Date (Month)].[All]" allUniqueName="[Downtime].[Date (Month)].[All]" dimensionUniqueName="[Downtime]" displayFolder="" count="0" memberValueDatatype="130" unbalanced="0"/>
    <cacheHierarchy uniqueName="[Downtime].[Date (Month Index)]" caption="Date (Month Index)" attribute="1" defaultMemberUniqueName="[Downtime].[Date (Month Index)].[All]" allUniqueName="[Downtime].[Date (Month Index)].[All]" dimensionUniqueName="[Downtime]" displayFolder="" count="0" memberValueDatatype="20" unbalanced="0" hidden="1"/>
    <cacheHierarchy uniqueName="[Measures].[__XL_Count Downtime]" caption="__XL_Count Downtime" measure="1" displayFolder="" measureGroup="Downtime" count="0" hidden="1"/>
    <cacheHierarchy uniqueName="[Measures].[__No measures defined]" caption="__No measures defined" measure="1" displayFolder="" count="0" hidden="1"/>
    <cacheHierarchy uniqueName="[Measures].[Count of Batch]" caption="Count of Batch" measure="1" displayFolder="" measureGroup="Downtime" count="0" hidden="1">
      <extLst>
        <ext xmlns:x15="http://schemas.microsoft.com/office/spreadsheetml/2010/11/main" uri="{B97F6D7D-B522-45F9-BDA1-12C45D357490}">
          <x15:cacheHierarchy aggregatedColumn="1"/>
        </ext>
      </extLst>
    </cacheHierarchy>
    <cacheHierarchy uniqueName="[Measures].[Distinct Count of Batch]" caption="Distinct Count of Batch" measure="1" displayFolder="" measureGroup="Downtime" count="0" hidden="1">
      <extLst>
        <ext xmlns:x15="http://schemas.microsoft.com/office/spreadsheetml/2010/11/main" uri="{B97F6D7D-B522-45F9-BDA1-12C45D357490}">
          <x15:cacheHierarchy aggregatedColumn="1"/>
        </ext>
      </extLst>
    </cacheHierarchy>
    <cacheHierarchy uniqueName="[Measures].[Count of Description]" caption="Count of Description" measure="1" displayFolder="" measureGroup="Downtime" count="0" hidden="1">
      <extLst>
        <ext xmlns:x15="http://schemas.microsoft.com/office/spreadsheetml/2010/11/main" uri="{B97F6D7D-B522-45F9-BDA1-12C45D357490}">
          <x15:cacheHierarchy aggregatedColumn="5"/>
        </ext>
      </extLst>
    </cacheHierarchy>
    <cacheHierarchy uniqueName="[Measures].[Sum of Adjusted Value]" caption="Sum of Adjusted Value" measure="1" displayFolder="" measureGroup="Downtime" count="0" hidden="1">
      <extLst>
        <ext xmlns:x15="http://schemas.microsoft.com/office/spreadsheetml/2010/11/main" uri="{B97F6D7D-B522-45F9-BDA1-12C45D357490}">
          <x15:cacheHierarchy aggregatedColumn="7"/>
        </ext>
      </extLst>
    </cacheHierarchy>
    <cacheHierarchy uniqueName="[Measures].[Sum of Downtime]" caption="Sum of Downtime" measure="1" displayFolder="" measureGroup="Downtime" count="0" hidden="1">
      <extLst>
        <ext xmlns:x15="http://schemas.microsoft.com/office/spreadsheetml/2010/11/main" uri="{B97F6D7D-B522-45F9-BDA1-12C45D357490}">
          <x15:cacheHierarchy aggregatedColumn="4"/>
        </ext>
      </extLst>
    </cacheHierarchy>
    <cacheHierarchy uniqueName="[Measures].[Sum of Production Time]" caption="Sum of Production Time" measure="1" displayFolder="" measureGroup="Downtim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2622156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CC3BE7-4387-46AF-BF84-1D0913FA369E}" name="PivotTable6"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82:B8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Downtime" fld="0"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2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Batch"/>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facturing_Line_Productivity.xlsx!Downtime">
        <x15:activeTabTopLevelEntity name="[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AEE6AE-AE9E-4C94-AD34-1444398DFDB9}" name="Downtime by Issue"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52:B5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i>
    <i>
      <x v="4"/>
    </i>
    <i>
      <x v="1"/>
    </i>
    <i t="grand">
      <x/>
    </i>
  </rowItems>
  <colItems count="1">
    <i/>
  </colItems>
  <dataFields count="1">
    <dataField name="Sum of Adjusted Value" fld="1"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Batch"/>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facturing_Line_Productivity.xlsx!Downtime">
        <x15:activeTabTopLevelEntity name="[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E65DB9-3466-4884-BB4F-0ED4D7FF3155}" name="batch"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46" firstHeaderRow="1" firstDataRow="1" firstDataCol="1"/>
  <pivotFields count="2">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dataField="1" subtotalTop="0" showAll="0" defaultSubtotal="0"/>
  </pivotFields>
  <rowFields count="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Distinct Count of Batch" fld="1" subtotal="count" baseField="0" baseItem="0">
      <extLst>
        <ext xmlns:x15="http://schemas.microsoft.com/office/spreadsheetml/2010/11/main" uri="{FABC7310-3BB5-11E1-824E-6D434824019B}">
          <x15:dataField isCountDistinct="1"/>
        </ext>
      </extLst>
    </dataField>
  </dataField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Batch"/>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facturing_Line_Productivity.xlsx!Downtime">
        <x15:activeTabTopLevelEntity name="[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ACD336-BED3-4F96-A2C8-4FC0CD41E0D8}" name="PivotTable5"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75:B8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djusted Value" fld="1"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s>
  <pivotHierarchies count="2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Batch"/>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facturing_Line_Productivity.xlsx!Downtime">
        <x15:activeTabTopLevelEntity name="[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50B0DC-C65D-4CE9-98FB-0BE8DD409612}" name="PivotTable8"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9:C106" firstHeaderRow="0"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v="1"/>
    </i>
    <i>
      <x/>
    </i>
    <i>
      <x v="5"/>
    </i>
    <i>
      <x v="3"/>
    </i>
    <i>
      <x v="2"/>
    </i>
    <i>
      <x v="4"/>
    </i>
    <i t="grand">
      <x/>
    </i>
  </rowItems>
  <colFields count="1">
    <field x="-2"/>
  </colFields>
  <colItems count="2">
    <i>
      <x/>
    </i>
    <i i="1">
      <x v="1"/>
    </i>
  </colItems>
  <dataFields count="2">
    <dataField name="Sum of Production Time" fld="1" baseField="0" baseItem="0"/>
    <dataField name="Sum of Downtime" fld="2" baseField="0" baseItem="0"/>
  </dataFields>
  <pivotHierarchies count="2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Batch"/>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facturing_Line_Productivity.xlsx!Downtime">
        <x15:activeTabTopLevelEntity name="[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E5D3AE-D13E-4F95-B7E3-C8C159B98670}" name="PivotTable7"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90:C97" firstHeaderRow="0"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v="1"/>
    </i>
    <i>
      <x/>
    </i>
    <i>
      <x v="5"/>
    </i>
    <i>
      <x v="3"/>
    </i>
    <i>
      <x v="2"/>
    </i>
    <i>
      <x v="4"/>
    </i>
    <i t="grand">
      <x/>
    </i>
  </rowItems>
  <colFields count="1">
    <field x="-2"/>
  </colFields>
  <colItems count="2">
    <i>
      <x/>
    </i>
    <i i="1">
      <x v="1"/>
    </i>
  </colItems>
  <dataFields count="2">
    <dataField name="Sum of Production Time" fld="1" baseField="0" baseItem="0"/>
    <dataField name="Sum of Downtime"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Batch"/>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facturing_Line_Productivity.xlsx!Downtime">
        <x15:activeTabTopLevelEntity name="[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9140E9-3780-4646-8434-B8C8D06FC394}" name="top 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B50"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Count of Description" fld="1" subtotal="count" baseField="0" baseItem="0"/>
  </dataField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Batch"/>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
      <autoFilter ref="A1">
        <filterColumn colId="0">
          <top10 val="1" filterVal="1"/>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facturing_Line_Productivity.xlsx!Downtime">
        <x15:activeTabTopLevelEntity name="[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C67983-1FF2-477F-82CF-E7940207EB39}"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08:B115" firstHeaderRow="1"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items count="2">
        <item x="0"/>
        <item x="1"/>
      </items>
    </pivotField>
    <pivotField dataField="1" subtotalTop="0" showAll="0" defaultSubtotal="0"/>
    <pivotField allDrilled="1" subtotalTop="0" showAll="0" dataSourceSort="1" defaultSubtotal="0" defaultAttributeDrillState="1"/>
  </pivotFields>
  <rowFields count="2">
    <field x="1"/>
    <field x="0"/>
  </rowFields>
  <rowItems count="7">
    <i>
      <x/>
    </i>
    <i r="1">
      <x/>
    </i>
    <i r="1">
      <x v="1"/>
    </i>
    <i r="1">
      <x v="2"/>
    </i>
    <i>
      <x v="1"/>
    </i>
    <i r="1">
      <x v="3"/>
    </i>
    <i t="grand">
      <x/>
    </i>
  </rowItems>
  <colItems count="1">
    <i/>
  </colItems>
  <dataFields count="1">
    <dataField name="Sum of Adjusted Value"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Batch"/>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facturing_Line_Productivity.xlsx!Downtime">
        <x15:activeTabTopLevelEntity name="[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E13966-F372-49CC-A0F5-F8AC609EA2B2}" name="PivotTable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66:B73"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1"/>
    </i>
    <i>
      <x v="5"/>
    </i>
    <i>
      <x/>
    </i>
    <i>
      <x v="2"/>
    </i>
    <i>
      <x v="3"/>
    </i>
    <i>
      <x v="4"/>
    </i>
    <i t="grand">
      <x/>
    </i>
  </rowItems>
  <colItems count="1">
    <i/>
  </colItems>
  <dataFields count="1">
    <dataField name="Sum of Adjusted Val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Batch"/>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facturing_Line_Productivity.xlsx!Downtime">
        <x15:activeTabTopLevelEntity name="[Downtim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5F402467-6676-45AC-8A45-57DA1B1B4EA3}" autoFormatId="16" applyNumberFormats="0" applyBorderFormats="0" applyFontFormats="0" applyPatternFormats="0" applyAlignmentFormats="0" applyWidthHeightFormats="0">
  <queryTableRefresh nextId="8">
    <queryTableFields count="7">
      <queryTableField id="1" name="Date" tableColumnId="1"/>
      <queryTableField id="2" name="Product" tableColumnId="2"/>
      <queryTableField id="3" name="Batch" tableColumnId="3"/>
      <queryTableField id="4" name="Operator" tableColumnId="4"/>
      <queryTableField id="5" name="Start Time" tableColumnId="5"/>
      <queryTableField id="6" name="End Time" tableColumnId="6"/>
      <queryTableField id="7" name="Production Tim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3A87350D-2E00-4D6F-8898-CA5857FC2B48}" autoFormatId="16" applyNumberFormats="0" applyBorderFormats="0" applyFontFormats="0" applyPatternFormats="0" applyAlignmentFormats="0" applyWidthHeightFormats="0">
  <queryTableRefresh nextId="16">
    <queryTableFields count="13">
      <queryTableField id="14" name="Date" tableColumnId="13"/>
      <queryTableField id="1" name="Batch" tableColumnId="1"/>
      <queryTableField id="7" name="Product" tableColumnId="7"/>
      <queryTableField id="2" name="Downtime Factor" tableColumnId="2"/>
      <queryTableField id="3" name="Downtime" tableColumnId="3"/>
      <queryTableField id="4" name="Description" tableColumnId="4"/>
      <queryTableField id="5" name="Operator Error" tableColumnId="5"/>
      <queryTableField id="6" name="Adjusted Value" tableColumnId="6"/>
      <queryTableField id="8" name="Operator" tableColumnId="8"/>
      <queryTableField id="9" name="Production Time" tableColumnId="9"/>
      <queryTableField id="10" name="Flavor" tableColumnId="10"/>
      <queryTableField id="11" name="Size" tableColumnId="11"/>
      <queryTableField id="12" name="Min batch tim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56C6695D-D605-46EF-9B33-9E9F6FCB6969}" sourceName="[Downtime].[Description]">
  <pivotTables>
    <pivotTable tabId="11" name="PivotTable1"/>
    <pivotTable tabId="11" name="Downtime by Issue"/>
    <pivotTable tabId="11" name="PivotTable4"/>
    <pivotTable tabId="11" name="PivotTable5"/>
    <pivotTable tabId="11" name="PivotTable6"/>
    <pivotTable tabId="11" name="PivotTable7"/>
    <pivotTable tabId="11" name="PivotTable8"/>
  </pivotTables>
  <data>
    <olap pivotCacheId="262215686">
      <levels count="2">
        <level uniqueName="[Downtime].[Description].[(All)]" sourceCaption="(All)" count="0"/>
        <level uniqueName="[Downtime].[Description].[Description]" sourceCaption="Description" count="11">
          <ranges>
            <range startItem="0">
              <i n="[Downtime].[Description].&amp;[Batch change]" c="Batch change"/>
              <i n="[Downtime].[Description].&amp;[Batch coding error]" c="Batch coding error"/>
              <i n="[Downtime].[Description].&amp;[Calibration error]" c="Calibration error"/>
              <i n="[Downtime].[Description].&amp;[Conveyor belt jam]" c="Conveyor belt jam"/>
              <i n="[Downtime].[Description].&amp;[Inventory shortage]" c="Inventory shortage"/>
              <i n="[Downtime].[Description].&amp;[Label switch]" c="Label switch"/>
              <i n="[Downtime].[Description].&amp;[Labeling error]" c="Labeling error"/>
              <i n="[Downtime].[Description].&amp;[Machine adjustment]" c="Machine adjustment"/>
              <i n="[Downtime].[Description].&amp;[Machine failure]" c="Machine failure"/>
              <i n="[Downtime].[Description].&amp;[Other]" c="Other"/>
              <i n="[Downtime].[Description].&amp;[Product spill]" c="Product spill"/>
            </range>
          </ranges>
        </level>
      </levels>
      <selections count="1">
        <selection n="[Downtime].[Descrip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or" xr10:uid="{DED385C7-714F-4551-8BC6-69C2329752C2}" sourceName="[Downtime].[Operator]">
  <pivotTables>
    <pivotTable tabId="11" name="PivotTable1"/>
    <pivotTable tabId="11" name="Downtime by Issue"/>
    <pivotTable tabId="11" name="PivotTable4"/>
    <pivotTable tabId="11" name="PivotTable5"/>
    <pivotTable tabId="11" name="PivotTable6"/>
    <pivotTable tabId="11" name="PivotTable7"/>
    <pivotTable tabId="11" name="PivotTable8"/>
  </pivotTables>
  <data>
    <olap pivotCacheId="262215686">
      <levels count="2">
        <level uniqueName="[Downtime].[Operator].[(All)]" sourceCaption="(All)" count="0"/>
        <level uniqueName="[Downtime].[Operator].[Operator]" sourceCaption="Operator" count="4">
          <ranges>
            <range startItem="0">
              <i n="[Downtime].[Operator].&amp;[Charlie]" c="Charlie"/>
              <i n="[Downtime].[Operator].&amp;[Dee]" c="Dee"/>
              <i n="[Downtime].[Operator].&amp;[Dennis]" c="Dennis"/>
              <i n="[Downtime].[Operator].&amp;[Mac]" c="Mac"/>
            </range>
          </ranges>
        </level>
      </levels>
      <selections count="1">
        <selection n="[Downtime].[Operato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xr10:uid="{5F290C98-8C46-4D33-A4D0-72F54796E375}" cache="Slicer_Description" caption="Issue" level="1" style="SlicerStyleDark3" rowHeight="257175"/>
  <slicer name="Operator" xr10:uid="{155595BA-D5B3-40F4-ABEE-D0FAA5C1BB55}" cache="Slicer_Operator" caption="Operator" level="1" style="SlicerStyleDark3" rowHeight="257175"/>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0726EA0-B787-47B2-97F9-213B217BDC9D}" name="Table7" displayName="Table7" ref="A1:M41" totalsRowShown="0" headerRowDxfId="20">
  <autoFilter ref="A1:M41" xr:uid="{C0726EA0-B787-47B2-97F9-213B217BDC9D}"/>
  <tableColumns count="13">
    <tableColumn id="1" xr3:uid="{DB3E56BD-BDA6-470D-B649-90605CFD8279}" name="Column1"/>
    <tableColumn id="2" xr3:uid="{E8C0DE33-ECF8-4151-8DCC-DB9F0D407A2E}" name="Column2"/>
    <tableColumn id="3" xr3:uid="{C9EA24F5-8A21-4191-8D76-63BAA50AF85B}" name="Column3"/>
    <tableColumn id="4" xr3:uid="{00CE63A7-BA94-47A8-8588-8F8607C78E93}" name="Column4"/>
    <tableColumn id="5" xr3:uid="{8999E3B6-C0A0-4D35-A86B-170DA685046A}" name="Column5"/>
    <tableColumn id="6" xr3:uid="{89E0ED59-2080-4BE1-93E3-6CC9717EB3E0}" name="Column6"/>
    <tableColumn id="7" xr3:uid="{01B57507-A34F-4689-A83D-52126152376F}" name="Column7"/>
    <tableColumn id="8" xr3:uid="{3BA0C9EE-5747-4114-9553-44B295A314C1}" name="Column8"/>
    <tableColumn id="9" xr3:uid="{E3DBA12D-563A-4D03-8400-88D6D00A08E8}" name="Column9"/>
    <tableColumn id="10" xr3:uid="{1A251C93-2F93-4EE5-8D1B-876B05B13F04}" name="Column10"/>
    <tableColumn id="11" xr3:uid="{847D8C50-462A-4F1C-BE50-0897E057F392}" name="Column11"/>
    <tableColumn id="12" xr3:uid="{3676F6B9-2B7E-41A0-8E4E-8E4070A8746F}" name="Column12"/>
    <tableColumn id="13" xr3:uid="{D03CBDA7-33CF-41B4-8D85-D52C4959BF4E}" name="Column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88A427-7E86-462E-BEE9-458FB6906091}" name="Table1" displayName="Table1" ref="A1:F39" totalsRowShown="0" headerRowDxfId="19">
  <autoFilter ref="A1:F39" xr:uid="{5C88A427-7E86-462E-BEE9-458FB6906091}"/>
  <tableColumns count="6">
    <tableColumn id="1" xr3:uid="{6C0558A2-1E24-4775-B326-1C16334D8CA6}" name="Date" dataDxfId="18"/>
    <tableColumn id="2" xr3:uid="{B448C53E-9EE8-4E78-8A19-380BCAB45C35}" name="Product"/>
    <tableColumn id="3" xr3:uid="{9F3AE83C-9F54-4C83-A98D-D17CA9941D41}" name="Batch"/>
    <tableColumn id="4" xr3:uid="{5034422C-5D3F-410B-B05A-02DE8767C6E2}" name="Operator"/>
    <tableColumn id="5" xr3:uid="{D9DCB483-92F3-4D43-A026-C46124524880}" name="Start Time" dataDxfId="17"/>
    <tableColumn id="6" xr3:uid="{A8EF70E4-38BA-4EDF-B0D3-F57DE049B2CE}" name="End Time" dataDxf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E33B65-310B-4270-AE1E-6CC4B2DD372D}" name="Table4" displayName="Table4" ref="A1:C13" totalsRowShown="0" headerRowDxfId="15">
  <autoFilter ref="A1:C13" xr:uid="{72E33B65-310B-4270-AE1E-6CC4B2DD372D}"/>
  <tableColumns count="3">
    <tableColumn id="1" xr3:uid="{DA3852D3-7520-48D3-9C01-22E4434317F6}" name="Factor"/>
    <tableColumn id="2" xr3:uid="{DCA9181B-8BDD-4A22-AC79-DF5A945C438A}" name="Description"/>
    <tableColumn id="3" xr3:uid="{8B4BA508-803E-45A3-9EA7-498796C1523D}" name="Operator Erro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F4EE4E-1D1A-4C01-BD1B-ABFB23858432}" name="Production_Table" displayName="Production_Table" ref="A1:G38" tableType="queryTable" totalsRowShown="0">
  <autoFilter ref="A1:G38" xr:uid="{64F4EE4E-1D1A-4C01-BD1B-ABFB23858432}"/>
  <tableColumns count="7">
    <tableColumn id="1" xr3:uid="{655E80C0-A8E3-4684-8E45-AD997851E311}" uniqueName="1" name="Date" queryTableFieldId="1" dataDxfId="14"/>
    <tableColumn id="2" xr3:uid="{4F4EE800-0ADC-4368-9E50-AADF9C1F0D54}" uniqueName="2" name="Product" queryTableFieldId="2" dataDxfId="13"/>
    <tableColumn id="3" xr3:uid="{195848C4-256E-4594-8CA7-6772D08508DA}" uniqueName="3" name="Batch" queryTableFieldId="3" dataDxfId="12"/>
    <tableColumn id="4" xr3:uid="{A116B1EE-DCD6-414C-A8BA-8FE0617B509B}" uniqueName="4" name="Operator" queryTableFieldId="4" dataDxfId="11"/>
    <tableColumn id="5" xr3:uid="{F18DCF4D-7DF5-4AB9-A693-22E14F6CA36E}" uniqueName="5" name="Start Time" queryTableFieldId="5" dataDxfId="10"/>
    <tableColumn id="6" xr3:uid="{745C1D2D-7333-4684-84B9-EB8408FAB640}" uniqueName="6" name="End Time" queryTableFieldId="6" dataDxfId="9"/>
    <tableColumn id="7" xr3:uid="{8F484F7E-4FBD-41E4-90EC-44FDE5022A76}" uniqueName="7" name="Production Time"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16B79E-45AC-4BDE-A35C-A1B14F608488}" name="Table3" displayName="Table3" ref="A1:D7" totalsRowShown="0" headerRowDxfId="8">
  <autoFilter ref="A1:D7" xr:uid="{E016B79E-45AC-4BDE-A35C-A1B14F608488}"/>
  <tableColumns count="4">
    <tableColumn id="1" xr3:uid="{B6E7E8BE-C09E-45A1-A8EC-D78D6C11A931}" name="Product"/>
    <tableColumn id="2" xr3:uid="{FE6595A6-84CD-4154-B36A-C8516263A1F9}" name="Flavor"/>
    <tableColumn id="3" xr3:uid="{BB205614-EE3D-4BBC-80A6-CC26DD8C7F09}" name="Size"/>
    <tableColumn id="4" xr3:uid="{920466C1-887B-4BB3-83B7-AD3A4978BC86}" name="Min batch tim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F0BF99-DD09-41BF-8EC1-ED51D363FDFE}" name="Downtime" displayName="Downtime" ref="A1:M60" tableType="queryTable" totalsRowShown="0">
  <autoFilter ref="A1:M60" xr:uid="{14F0BF99-DD09-41BF-8EC1-ED51D363FDFE}"/>
  <tableColumns count="13">
    <tableColumn id="13" xr3:uid="{2C0ACB58-9465-446E-9827-B8B493F4166E}" uniqueName="13" name="Date" queryTableFieldId="14" dataDxfId="7"/>
    <tableColumn id="1" xr3:uid="{FDD0BBBE-5BD1-458F-82ED-2EEE6C30FB34}" uniqueName="1" name="Batch" queryTableFieldId="1" dataDxfId="6"/>
    <tableColumn id="7" xr3:uid="{2B798428-F723-4983-A66B-FAED8368A254}" uniqueName="7" name="Product" queryTableFieldId="7" dataDxfId="5"/>
    <tableColumn id="2" xr3:uid="{1F9D9DCB-08A0-4C85-AA85-5C7F9B78DF50}" uniqueName="2" name="Downtime Factor" queryTableFieldId="2"/>
    <tableColumn id="3" xr3:uid="{4B7B8B4D-79EB-4104-BB61-0A6C5865B7CA}" uniqueName="3" name="Downtime" queryTableFieldId="3"/>
    <tableColumn id="4" xr3:uid="{14C0822B-F37B-44A8-856A-E6AFD96BBCCB}" uniqueName="4" name="Description" queryTableFieldId="4" dataDxfId="4"/>
    <tableColumn id="5" xr3:uid="{CEEFE6E3-80BB-4502-AA24-8131DD538D26}" uniqueName="5" name="Operator Error" queryTableFieldId="5" dataDxfId="3"/>
    <tableColumn id="6" xr3:uid="{C4590380-2AC0-45B8-9F39-69C7DF5C4B3E}" uniqueName="6" name="Adjusted Value" queryTableFieldId="6"/>
    <tableColumn id="8" xr3:uid="{D0B9F05E-B198-4CCD-89A8-FD756308DE2D}" uniqueName="8" name="Operator" queryTableFieldId="8" dataDxfId="2"/>
    <tableColumn id="9" xr3:uid="{4EB927CC-DEE8-4DB1-954D-5F32DEC4848C}" uniqueName="9" name="Production Time" queryTableFieldId="9"/>
    <tableColumn id="10" xr3:uid="{C64DF712-23F9-4086-8583-333A9805A1D9}" uniqueName="10" name="Flavor" queryTableFieldId="10" dataDxfId="1"/>
    <tableColumn id="11" xr3:uid="{7587AA3A-3F85-4030-B0A6-1F6D2DCC6A8B}" uniqueName="11" name="Size" queryTableFieldId="11" dataDxfId="0"/>
    <tableColumn id="12" xr3:uid="{CD38E2A9-F7B5-4DF8-8225-580A5B09151A}" uniqueName="12" name="Min batch time"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hyperlink" Target="https://www.color-hex.com/color/f2e2cd" TargetMode="Externa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03E6B-C648-491E-9E5D-F67501FDD632}">
  <dimension ref="A1:M41"/>
  <sheetViews>
    <sheetView topLeftCell="A7" workbookViewId="0">
      <selection activeCell="G7" sqref="G7"/>
    </sheetView>
  </sheetViews>
  <sheetFormatPr defaultRowHeight="15" x14ac:dyDescent="0.25"/>
  <cols>
    <col min="1" max="9" width="11.28515625" customWidth="1"/>
    <col min="10" max="13" width="12.28515625" customWidth="1"/>
  </cols>
  <sheetData>
    <row r="1" spans="1:13" x14ac:dyDescent="0.25">
      <c r="A1" t="s">
        <v>82</v>
      </c>
      <c r="B1" s="4" t="s">
        <v>83</v>
      </c>
      <c r="C1" s="4" t="s">
        <v>84</v>
      </c>
      <c r="D1" s="4" t="s">
        <v>85</v>
      </c>
      <c r="E1" s="4" t="s">
        <v>86</v>
      </c>
      <c r="F1" s="4" t="s">
        <v>87</v>
      </c>
      <c r="G1" s="4" t="s">
        <v>88</v>
      </c>
      <c r="H1" s="4" t="s">
        <v>89</v>
      </c>
      <c r="I1" s="4" t="s">
        <v>90</v>
      </c>
      <c r="J1" s="4" t="s">
        <v>91</v>
      </c>
      <c r="K1" s="4" t="s">
        <v>92</v>
      </c>
      <c r="L1" s="4" t="s">
        <v>93</v>
      </c>
      <c r="M1" s="4" t="s">
        <v>94</v>
      </c>
    </row>
    <row r="2" spans="1:13" x14ac:dyDescent="0.25">
      <c r="B2" s="4" t="s">
        <v>23</v>
      </c>
      <c r="C2" s="4"/>
      <c r="D2" s="4"/>
      <c r="E2" s="4"/>
      <c r="F2" s="4"/>
      <c r="G2" s="4"/>
      <c r="H2" s="4"/>
      <c r="I2" s="4"/>
      <c r="J2" s="4"/>
      <c r="K2" s="4"/>
      <c r="L2" s="4"/>
      <c r="M2" s="4"/>
    </row>
    <row r="3" spans="1:13" x14ac:dyDescent="0.25">
      <c r="A3" s="2" t="s">
        <v>2</v>
      </c>
      <c r="B3" s="2">
        <v>1</v>
      </c>
      <c r="C3" s="2">
        <v>2</v>
      </c>
      <c r="D3" s="2">
        <v>3</v>
      </c>
      <c r="E3" s="2">
        <v>4</v>
      </c>
      <c r="F3" s="2">
        <v>5</v>
      </c>
      <c r="G3" s="2">
        <v>6</v>
      </c>
      <c r="H3" s="2">
        <v>7</v>
      </c>
      <c r="I3" s="2">
        <v>8</v>
      </c>
      <c r="J3" s="2">
        <v>9</v>
      </c>
      <c r="K3" s="2">
        <v>10</v>
      </c>
      <c r="L3" s="2">
        <v>11</v>
      </c>
      <c r="M3" s="2">
        <v>12</v>
      </c>
    </row>
    <row r="4" spans="1:13" x14ac:dyDescent="0.25">
      <c r="A4">
        <v>422111</v>
      </c>
      <c r="C4">
        <v>60</v>
      </c>
      <c r="H4">
        <v>15</v>
      </c>
    </row>
    <row r="5" spans="1:13" x14ac:dyDescent="0.25">
      <c r="A5">
        <v>422112</v>
      </c>
      <c r="C5">
        <v>20</v>
      </c>
      <c r="I5">
        <v>20</v>
      </c>
    </row>
    <row r="6" spans="1:13" x14ac:dyDescent="0.25">
      <c r="A6">
        <v>422113</v>
      </c>
      <c r="C6">
        <v>50</v>
      </c>
    </row>
    <row r="7" spans="1:13" x14ac:dyDescent="0.25">
      <c r="A7">
        <v>422114</v>
      </c>
      <c r="E7">
        <v>25</v>
      </c>
      <c r="G7">
        <v>15</v>
      </c>
    </row>
    <row r="8" spans="1:13" x14ac:dyDescent="0.25">
      <c r="A8">
        <v>422115</v>
      </c>
      <c r="K8">
        <v>24</v>
      </c>
    </row>
    <row r="9" spans="1:13" x14ac:dyDescent="0.25">
      <c r="A9">
        <v>422116</v>
      </c>
    </row>
    <row r="10" spans="1:13" x14ac:dyDescent="0.25">
      <c r="A10">
        <v>422117</v>
      </c>
      <c r="C10">
        <v>10</v>
      </c>
      <c r="G10">
        <v>5</v>
      </c>
    </row>
    <row r="11" spans="1:13" x14ac:dyDescent="0.25">
      <c r="A11">
        <v>422118</v>
      </c>
      <c r="G11">
        <v>14</v>
      </c>
      <c r="H11">
        <v>16</v>
      </c>
      <c r="L11">
        <v>10</v>
      </c>
      <c r="M11">
        <v>20</v>
      </c>
    </row>
    <row r="12" spans="1:13" x14ac:dyDescent="0.25">
      <c r="A12">
        <v>422119</v>
      </c>
      <c r="E12">
        <v>25</v>
      </c>
    </row>
    <row r="13" spans="1:13" x14ac:dyDescent="0.25">
      <c r="A13">
        <v>422120</v>
      </c>
      <c r="E13">
        <v>20</v>
      </c>
      <c r="F13">
        <v>15</v>
      </c>
      <c r="J13">
        <v>17</v>
      </c>
    </row>
    <row r="14" spans="1:13" x14ac:dyDescent="0.25">
      <c r="A14">
        <v>422121</v>
      </c>
      <c r="H14">
        <v>15</v>
      </c>
    </row>
    <row r="15" spans="1:13" x14ac:dyDescent="0.25">
      <c r="A15">
        <v>422122</v>
      </c>
      <c r="H15">
        <v>25</v>
      </c>
    </row>
    <row r="16" spans="1:13" x14ac:dyDescent="0.25">
      <c r="A16">
        <v>422123</v>
      </c>
      <c r="E16">
        <v>43</v>
      </c>
      <c r="H16">
        <v>30</v>
      </c>
    </row>
    <row r="17" spans="1:13" x14ac:dyDescent="0.25">
      <c r="A17">
        <v>422124</v>
      </c>
      <c r="F17">
        <v>20</v>
      </c>
      <c r="G17">
        <v>20</v>
      </c>
    </row>
    <row r="18" spans="1:13" x14ac:dyDescent="0.25">
      <c r="A18">
        <v>422125</v>
      </c>
      <c r="L18">
        <v>10</v>
      </c>
      <c r="M18">
        <v>10</v>
      </c>
    </row>
    <row r="19" spans="1:13" x14ac:dyDescent="0.25">
      <c r="A19">
        <v>422126</v>
      </c>
      <c r="I19">
        <v>44</v>
      </c>
    </row>
    <row r="20" spans="1:13" x14ac:dyDescent="0.25">
      <c r="A20">
        <v>422127</v>
      </c>
      <c r="G20">
        <v>23</v>
      </c>
    </row>
    <row r="21" spans="1:13" x14ac:dyDescent="0.25">
      <c r="A21">
        <v>422128</v>
      </c>
      <c r="F21">
        <v>22</v>
      </c>
      <c r="H21">
        <v>30</v>
      </c>
    </row>
    <row r="22" spans="1:13" x14ac:dyDescent="0.25">
      <c r="A22">
        <v>422129</v>
      </c>
      <c r="M22">
        <v>15</v>
      </c>
    </row>
    <row r="23" spans="1:13" x14ac:dyDescent="0.25">
      <c r="A23">
        <v>422130</v>
      </c>
      <c r="C23">
        <v>20</v>
      </c>
    </row>
    <row r="24" spans="1:13" x14ac:dyDescent="0.25">
      <c r="A24">
        <v>422131</v>
      </c>
      <c r="E24">
        <v>20</v>
      </c>
      <c r="K24">
        <v>10</v>
      </c>
    </row>
    <row r="25" spans="1:13" x14ac:dyDescent="0.25">
      <c r="A25">
        <v>422132</v>
      </c>
    </row>
    <row r="26" spans="1:13" x14ac:dyDescent="0.25">
      <c r="A26">
        <v>422133</v>
      </c>
      <c r="H26">
        <v>20</v>
      </c>
    </row>
    <row r="27" spans="1:13" x14ac:dyDescent="0.25">
      <c r="A27">
        <v>422134</v>
      </c>
      <c r="H27">
        <v>30</v>
      </c>
      <c r="I27">
        <v>20</v>
      </c>
    </row>
    <row r="28" spans="1:13" x14ac:dyDescent="0.25">
      <c r="A28">
        <v>422135</v>
      </c>
      <c r="E28">
        <v>30</v>
      </c>
      <c r="M28">
        <v>15</v>
      </c>
    </row>
    <row r="29" spans="1:13" x14ac:dyDescent="0.25">
      <c r="A29">
        <v>422136</v>
      </c>
    </row>
    <row r="30" spans="1:13" x14ac:dyDescent="0.25">
      <c r="A30">
        <v>422137</v>
      </c>
      <c r="I30">
        <v>30</v>
      </c>
      <c r="K30">
        <v>15</v>
      </c>
    </row>
    <row r="31" spans="1:13" x14ac:dyDescent="0.25">
      <c r="A31">
        <v>422138</v>
      </c>
      <c r="D31">
        <v>20</v>
      </c>
    </row>
    <row r="32" spans="1:13" x14ac:dyDescent="0.25">
      <c r="A32">
        <v>422139</v>
      </c>
      <c r="E32">
        <v>20</v>
      </c>
      <c r="G32">
        <v>15</v>
      </c>
    </row>
    <row r="33" spans="1:13" x14ac:dyDescent="0.25">
      <c r="A33">
        <v>422140</v>
      </c>
      <c r="G33">
        <v>50</v>
      </c>
      <c r="L33">
        <v>13</v>
      </c>
    </row>
    <row r="34" spans="1:13" x14ac:dyDescent="0.25">
      <c r="A34">
        <v>422141</v>
      </c>
      <c r="M34">
        <v>7</v>
      </c>
    </row>
    <row r="35" spans="1:13" x14ac:dyDescent="0.25">
      <c r="A35">
        <v>422142</v>
      </c>
      <c r="G35">
        <v>30</v>
      </c>
    </row>
    <row r="36" spans="1:13" x14ac:dyDescent="0.25">
      <c r="A36">
        <v>422143</v>
      </c>
      <c r="G36">
        <v>40</v>
      </c>
      <c r="H36">
        <v>18</v>
      </c>
    </row>
    <row r="37" spans="1:13" x14ac:dyDescent="0.25">
      <c r="A37">
        <v>422144</v>
      </c>
      <c r="G37">
        <v>30</v>
      </c>
      <c r="I37">
        <v>24</v>
      </c>
    </row>
    <row r="38" spans="1:13" x14ac:dyDescent="0.25">
      <c r="A38">
        <v>422145</v>
      </c>
      <c r="D38">
        <v>22</v>
      </c>
    </row>
    <row r="39" spans="1:13" x14ac:dyDescent="0.25">
      <c r="A39">
        <v>422146</v>
      </c>
      <c r="G39">
        <v>30</v>
      </c>
      <c r="H39">
        <v>25</v>
      </c>
      <c r="M39">
        <v>7</v>
      </c>
    </row>
    <row r="40" spans="1:13" x14ac:dyDescent="0.25">
      <c r="A40">
        <v>422147</v>
      </c>
      <c r="E40">
        <v>17</v>
      </c>
      <c r="G40">
        <v>60</v>
      </c>
      <c r="H40">
        <v>30</v>
      </c>
    </row>
    <row r="41" spans="1:13" x14ac:dyDescent="0.25">
      <c r="A41">
        <v>422148</v>
      </c>
      <c r="E41">
        <v>25</v>
      </c>
      <c r="I41">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62F3-8C54-4C2B-8E48-722D67F8C002}">
  <dimension ref="A1:F39"/>
  <sheetViews>
    <sheetView workbookViewId="0">
      <selection activeCell="H18" sqref="H18"/>
    </sheetView>
  </sheetViews>
  <sheetFormatPr defaultRowHeight="15" x14ac:dyDescent="0.25"/>
  <cols>
    <col min="1" max="1" width="10.42578125" bestFit="1" customWidth="1"/>
    <col min="2" max="2" width="10.140625" customWidth="1"/>
    <col min="3" max="3" width="8.85546875" customWidth="1"/>
    <col min="4" max="4" width="11.140625" customWidth="1"/>
    <col min="5" max="5" width="12.28515625" customWidth="1"/>
    <col min="6" max="6" width="11.42578125" customWidth="1"/>
    <col min="7" max="7" width="8.7109375" bestFit="1" customWidth="1"/>
    <col min="8" max="11" width="8.85546875" customWidth="1"/>
    <col min="13" max="13" width="8.85546875" customWidth="1"/>
  </cols>
  <sheetData>
    <row r="1" spans="1:6" x14ac:dyDescent="0.25">
      <c r="A1" s="2" t="s">
        <v>0</v>
      </c>
      <c r="B1" s="2" t="s">
        <v>1</v>
      </c>
      <c r="C1" s="2" t="s">
        <v>2</v>
      </c>
      <c r="D1" s="2" t="s">
        <v>3</v>
      </c>
      <c r="E1" s="2" t="s">
        <v>4</v>
      </c>
      <c r="F1" s="2" t="s">
        <v>5</v>
      </c>
    </row>
    <row r="2" spans="1:6" x14ac:dyDescent="0.25">
      <c r="A2" s="1">
        <v>45533</v>
      </c>
      <c r="B2" t="s">
        <v>24</v>
      </c>
      <c r="C2">
        <v>422111</v>
      </c>
      <c r="D2" t="s">
        <v>43</v>
      </c>
      <c r="E2" s="3">
        <v>0.49305555555555558</v>
      </c>
      <c r="F2" s="3">
        <v>0.58680555555555558</v>
      </c>
    </row>
    <row r="3" spans="1:6" x14ac:dyDescent="0.25">
      <c r="A3" s="1">
        <v>45533</v>
      </c>
      <c r="B3" t="s">
        <v>25</v>
      </c>
      <c r="C3">
        <v>422112</v>
      </c>
      <c r="D3" t="s">
        <v>43</v>
      </c>
      <c r="E3" s="3">
        <v>0.58680555555555558</v>
      </c>
      <c r="F3" s="3">
        <v>0.65625</v>
      </c>
    </row>
    <row r="4" spans="1:6" x14ac:dyDescent="0.25">
      <c r="A4" s="1">
        <v>45533</v>
      </c>
      <c r="B4" t="s">
        <v>25</v>
      </c>
      <c r="C4">
        <v>422113</v>
      </c>
      <c r="D4" t="s">
        <v>43</v>
      </c>
      <c r="E4" s="3">
        <v>0.65625</v>
      </c>
      <c r="F4" s="3">
        <v>0.73263888888888884</v>
      </c>
    </row>
    <row r="5" spans="1:6" x14ac:dyDescent="0.25">
      <c r="A5" s="1">
        <v>45533</v>
      </c>
      <c r="B5" t="s">
        <v>25</v>
      </c>
      <c r="C5">
        <v>422114</v>
      </c>
      <c r="D5" t="s">
        <v>43</v>
      </c>
      <c r="E5" s="3">
        <v>0.73263888888888884</v>
      </c>
      <c r="F5" s="3">
        <v>0.80208333333333326</v>
      </c>
    </row>
    <row r="6" spans="1:6" x14ac:dyDescent="0.25">
      <c r="A6" s="1">
        <v>45533</v>
      </c>
      <c r="B6" t="s">
        <v>25</v>
      </c>
      <c r="C6">
        <v>422115</v>
      </c>
      <c r="D6" t="s">
        <v>40</v>
      </c>
      <c r="E6" s="3">
        <v>0.80208333333333326</v>
      </c>
      <c r="F6" s="3">
        <v>0.86041666666666661</v>
      </c>
    </row>
    <row r="7" spans="1:6" x14ac:dyDescent="0.25">
      <c r="A7" s="1">
        <v>45533</v>
      </c>
      <c r="B7" t="s">
        <v>25</v>
      </c>
      <c r="C7">
        <v>422116</v>
      </c>
      <c r="D7" t="s">
        <v>40</v>
      </c>
      <c r="E7" s="3">
        <v>0.86041666666666661</v>
      </c>
      <c r="F7" s="3">
        <v>0.90208333333333324</v>
      </c>
    </row>
    <row r="8" spans="1:6" x14ac:dyDescent="0.25">
      <c r="A8" s="1">
        <v>45533</v>
      </c>
      <c r="B8" t="s">
        <v>25</v>
      </c>
      <c r="C8">
        <v>422117</v>
      </c>
      <c r="D8" t="s">
        <v>40</v>
      </c>
      <c r="E8" s="3">
        <v>0.90208333333333324</v>
      </c>
      <c r="F8" s="3">
        <v>0.95416666666666661</v>
      </c>
    </row>
    <row r="9" spans="1:6" x14ac:dyDescent="0.25">
      <c r="A9" s="1">
        <v>45534</v>
      </c>
      <c r="B9" t="s">
        <v>26</v>
      </c>
      <c r="C9">
        <v>422118</v>
      </c>
      <c r="D9" t="s">
        <v>41</v>
      </c>
      <c r="E9" s="3">
        <v>0.1701388888888889</v>
      </c>
      <c r="F9" s="3">
        <v>0.25347222222222221</v>
      </c>
    </row>
    <row r="10" spans="1:6" x14ac:dyDescent="0.25">
      <c r="A10" s="1">
        <v>45534</v>
      </c>
      <c r="B10" t="s">
        <v>26</v>
      </c>
      <c r="C10">
        <v>422119</v>
      </c>
      <c r="D10" t="s">
        <v>41</v>
      </c>
      <c r="E10" s="3">
        <v>0.25347222222222221</v>
      </c>
      <c r="F10" s="3">
        <v>0.3125</v>
      </c>
    </row>
    <row r="11" spans="1:6" x14ac:dyDescent="0.25">
      <c r="A11" s="1">
        <v>45534</v>
      </c>
      <c r="B11" t="s">
        <v>26</v>
      </c>
      <c r="C11">
        <v>422120</v>
      </c>
      <c r="D11" t="s">
        <v>41</v>
      </c>
      <c r="E11" s="3">
        <v>0.3125</v>
      </c>
      <c r="F11" s="3">
        <v>0.39027777777777778</v>
      </c>
    </row>
    <row r="12" spans="1:6" x14ac:dyDescent="0.25">
      <c r="A12" s="1">
        <v>45534</v>
      </c>
      <c r="B12" t="s">
        <v>26</v>
      </c>
      <c r="C12">
        <v>422121</v>
      </c>
      <c r="D12" t="s">
        <v>42</v>
      </c>
      <c r="E12" s="3">
        <v>0.39027777777777778</v>
      </c>
      <c r="F12" s="3">
        <v>0.44236111111111109</v>
      </c>
    </row>
    <row r="13" spans="1:6" x14ac:dyDescent="0.25">
      <c r="A13" s="1">
        <v>45534</v>
      </c>
      <c r="B13" t="s">
        <v>26</v>
      </c>
      <c r="C13">
        <v>422122</v>
      </c>
      <c r="D13" t="s">
        <v>42</v>
      </c>
      <c r="E13" s="3">
        <v>0.44236111111111109</v>
      </c>
      <c r="F13" s="3">
        <v>0.50138888888888888</v>
      </c>
    </row>
    <row r="14" spans="1:6" x14ac:dyDescent="0.25">
      <c r="A14" s="1">
        <v>45534</v>
      </c>
      <c r="B14" t="s">
        <v>26</v>
      </c>
      <c r="C14">
        <v>422123</v>
      </c>
      <c r="D14" t="s">
        <v>42</v>
      </c>
      <c r="E14" s="3">
        <v>0.50138888888888888</v>
      </c>
      <c r="F14" s="3">
        <v>0.59375</v>
      </c>
    </row>
    <row r="15" spans="1:6" x14ac:dyDescent="0.25">
      <c r="A15" s="1">
        <v>45534</v>
      </c>
      <c r="B15" t="s">
        <v>26</v>
      </c>
      <c r="C15">
        <v>422124</v>
      </c>
      <c r="D15" t="s">
        <v>42</v>
      </c>
      <c r="E15" s="3">
        <v>0.59375</v>
      </c>
      <c r="F15" s="3">
        <v>0.66319444444444442</v>
      </c>
    </row>
    <row r="16" spans="1:6" x14ac:dyDescent="0.25">
      <c r="A16" s="1">
        <v>45534</v>
      </c>
      <c r="B16" t="s">
        <v>26</v>
      </c>
      <c r="C16">
        <v>422125</v>
      </c>
      <c r="D16" t="s">
        <v>40</v>
      </c>
      <c r="E16" s="3">
        <v>0.66319444444444442</v>
      </c>
      <c r="F16" s="3">
        <v>0.71875</v>
      </c>
    </row>
    <row r="17" spans="1:6" x14ac:dyDescent="0.25">
      <c r="A17" s="1">
        <v>45534</v>
      </c>
      <c r="B17" t="s">
        <v>26</v>
      </c>
      <c r="C17">
        <v>422126</v>
      </c>
      <c r="D17" t="s">
        <v>40</v>
      </c>
      <c r="E17" s="3">
        <v>0.71875</v>
      </c>
      <c r="F17" s="3">
        <v>0.79097222222222219</v>
      </c>
    </row>
    <row r="18" spans="1:6" x14ac:dyDescent="0.25">
      <c r="A18" s="1">
        <v>45534</v>
      </c>
      <c r="B18" t="s">
        <v>26</v>
      </c>
      <c r="C18">
        <v>422127</v>
      </c>
      <c r="D18" t="s">
        <v>40</v>
      </c>
      <c r="E18" s="3">
        <v>0.79097222222222219</v>
      </c>
      <c r="F18" s="3">
        <v>0.84861111111111109</v>
      </c>
    </row>
    <row r="19" spans="1:6" x14ac:dyDescent="0.25">
      <c r="A19" s="1">
        <v>45534</v>
      </c>
      <c r="B19" t="s">
        <v>26</v>
      </c>
      <c r="C19">
        <v>422128</v>
      </c>
      <c r="D19" t="s">
        <v>40</v>
      </c>
      <c r="E19" s="3">
        <v>0.84861111111111109</v>
      </c>
      <c r="F19" s="3">
        <v>0.92638888888888893</v>
      </c>
    </row>
    <row r="20" spans="1:6" x14ac:dyDescent="0.25">
      <c r="A20" s="1">
        <v>45534</v>
      </c>
      <c r="B20" t="s">
        <v>26</v>
      </c>
      <c r="C20">
        <v>422129</v>
      </c>
      <c r="D20" t="s">
        <v>40</v>
      </c>
      <c r="E20" s="3">
        <v>0.92638888888888893</v>
      </c>
      <c r="F20" s="3">
        <v>0.97847222222222219</v>
      </c>
    </row>
    <row r="21" spans="1:6" x14ac:dyDescent="0.25">
      <c r="A21" s="1">
        <v>45535</v>
      </c>
      <c r="B21" t="s">
        <v>26</v>
      </c>
      <c r="C21">
        <v>422130</v>
      </c>
      <c r="D21" t="s">
        <v>41</v>
      </c>
      <c r="E21" s="3">
        <v>0.32291666666666669</v>
      </c>
      <c r="F21" s="3">
        <v>0.37847222222222221</v>
      </c>
    </row>
    <row r="22" spans="1:6" x14ac:dyDescent="0.25">
      <c r="A22" s="1">
        <v>45535</v>
      </c>
      <c r="B22" t="s">
        <v>26</v>
      </c>
      <c r="C22">
        <v>422131</v>
      </c>
      <c r="D22" t="s">
        <v>41</v>
      </c>
      <c r="E22" s="3">
        <v>0.37847222222222221</v>
      </c>
      <c r="F22" s="3">
        <v>0.44097222222222221</v>
      </c>
    </row>
    <row r="23" spans="1:6" x14ac:dyDescent="0.25">
      <c r="A23" s="1">
        <v>45535</v>
      </c>
      <c r="B23" t="s">
        <v>26</v>
      </c>
      <c r="C23">
        <v>422132</v>
      </c>
      <c r="D23" t="s">
        <v>41</v>
      </c>
      <c r="E23" s="3">
        <v>0.44097222222222221</v>
      </c>
      <c r="F23" s="3">
        <v>0.4826388888888889</v>
      </c>
    </row>
    <row r="24" spans="1:6" x14ac:dyDescent="0.25">
      <c r="A24" s="1">
        <v>45535</v>
      </c>
      <c r="B24" t="s">
        <v>27</v>
      </c>
      <c r="C24">
        <v>422133</v>
      </c>
      <c r="D24" t="s">
        <v>41</v>
      </c>
      <c r="E24" s="3">
        <v>0.4826388888888889</v>
      </c>
      <c r="F24" s="3">
        <v>0.53819444444444442</v>
      </c>
    </row>
    <row r="25" spans="1:6" x14ac:dyDescent="0.25">
      <c r="A25" s="1">
        <v>45535</v>
      </c>
      <c r="B25" t="s">
        <v>27</v>
      </c>
      <c r="C25">
        <v>422134</v>
      </c>
      <c r="D25" t="s">
        <v>43</v>
      </c>
      <c r="E25" s="3">
        <v>0.53819444444444442</v>
      </c>
      <c r="F25" s="3">
        <v>0.61458333333333337</v>
      </c>
    </row>
    <row r="26" spans="1:6" x14ac:dyDescent="0.25">
      <c r="A26" s="1">
        <v>45535</v>
      </c>
      <c r="B26" t="s">
        <v>27</v>
      </c>
      <c r="C26">
        <v>422135</v>
      </c>
      <c r="D26" t="s">
        <v>43</v>
      </c>
      <c r="E26" s="3">
        <v>0.61458333333333337</v>
      </c>
      <c r="F26" s="3">
        <v>0.6875</v>
      </c>
    </row>
    <row r="27" spans="1:6" x14ac:dyDescent="0.25">
      <c r="A27" s="1">
        <v>45535</v>
      </c>
      <c r="B27" t="s">
        <v>27</v>
      </c>
      <c r="C27">
        <v>422136</v>
      </c>
      <c r="D27" t="s">
        <v>43</v>
      </c>
      <c r="E27" s="3">
        <v>0.6875</v>
      </c>
      <c r="F27" s="3">
        <v>0.72916666666666663</v>
      </c>
    </row>
    <row r="28" spans="1:6" x14ac:dyDescent="0.25">
      <c r="A28" s="1">
        <v>45537</v>
      </c>
      <c r="B28" t="s">
        <v>28</v>
      </c>
      <c r="C28">
        <v>422137</v>
      </c>
      <c r="D28" t="s">
        <v>41</v>
      </c>
      <c r="E28" s="3">
        <v>4.1666666666666664E-2</v>
      </c>
      <c r="F28" s="3">
        <v>0.11458333333333333</v>
      </c>
    </row>
    <row r="29" spans="1:6" x14ac:dyDescent="0.25">
      <c r="A29" s="1">
        <v>45537</v>
      </c>
      <c r="B29" t="s">
        <v>28</v>
      </c>
      <c r="C29">
        <v>422138</v>
      </c>
      <c r="D29" t="s">
        <v>41</v>
      </c>
      <c r="E29" s="3">
        <v>0.11458333333333333</v>
      </c>
      <c r="F29" s="3">
        <v>0.1701388888888889</v>
      </c>
    </row>
    <row r="30" spans="1:6" x14ac:dyDescent="0.25">
      <c r="A30" s="1">
        <v>45537</v>
      </c>
      <c r="B30" t="s">
        <v>28</v>
      </c>
      <c r="C30">
        <v>422139</v>
      </c>
      <c r="D30" t="s">
        <v>41</v>
      </c>
      <c r="E30" s="3">
        <v>0.1701388888888889</v>
      </c>
      <c r="F30" s="3">
        <v>0.2361111111111111</v>
      </c>
    </row>
    <row r="31" spans="1:6" x14ac:dyDescent="0.25">
      <c r="A31" s="1">
        <v>45537</v>
      </c>
      <c r="B31" t="s">
        <v>28</v>
      </c>
      <c r="C31">
        <v>422140</v>
      </c>
      <c r="D31" t="s">
        <v>41</v>
      </c>
      <c r="E31" s="3">
        <v>0.2361111111111111</v>
      </c>
      <c r="F31" s="3">
        <v>0.3215277777777778</v>
      </c>
    </row>
    <row r="32" spans="1:6" x14ac:dyDescent="0.25">
      <c r="A32" s="1">
        <v>45537</v>
      </c>
      <c r="B32" t="s">
        <v>28</v>
      </c>
      <c r="C32">
        <v>422141</v>
      </c>
      <c r="D32" t="s">
        <v>42</v>
      </c>
      <c r="E32" s="3">
        <v>0.3215277777777778</v>
      </c>
      <c r="F32" s="3">
        <v>0.36805555555555558</v>
      </c>
    </row>
    <row r="33" spans="1:6" x14ac:dyDescent="0.25">
      <c r="A33" s="1">
        <v>45537</v>
      </c>
      <c r="B33" t="s">
        <v>28</v>
      </c>
      <c r="C33">
        <v>422142</v>
      </c>
      <c r="D33" t="s">
        <v>42</v>
      </c>
      <c r="E33" s="3">
        <v>0.36805555555555558</v>
      </c>
      <c r="F33" s="3">
        <v>0.43055555555555558</v>
      </c>
    </row>
    <row r="34" spans="1:6" x14ac:dyDescent="0.25">
      <c r="A34" s="1">
        <v>45537</v>
      </c>
      <c r="B34" t="s">
        <v>28</v>
      </c>
      <c r="C34">
        <v>422143</v>
      </c>
      <c r="D34" t="s">
        <v>42</v>
      </c>
      <c r="E34" s="3">
        <v>0.43055555555555558</v>
      </c>
      <c r="F34" s="3">
        <v>0.51249999999999996</v>
      </c>
    </row>
    <row r="35" spans="1:6" x14ac:dyDescent="0.25">
      <c r="A35" s="1">
        <v>45537</v>
      </c>
      <c r="B35" t="s">
        <v>29</v>
      </c>
      <c r="C35">
        <v>422144</v>
      </c>
      <c r="D35" t="s">
        <v>42</v>
      </c>
      <c r="E35" s="3">
        <v>0.51249999999999996</v>
      </c>
      <c r="F35" s="3">
        <v>0.61805555555555558</v>
      </c>
    </row>
    <row r="36" spans="1:6" x14ac:dyDescent="0.25">
      <c r="A36" s="1">
        <v>45537</v>
      </c>
      <c r="B36" t="s">
        <v>29</v>
      </c>
      <c r="C36">
        <v>422145</v>
      </c>
      <c r="D36" t="s">
        <v>40</v>
      </c>
      <c r="E36" s="3">
        <v>0.61805555555555558</v>
      </c>
      <c r="F36" s="3">
        <v>0.70138888888888895</v>
      </c>
    </row>
    <row r="37" spans="1:6" x14ac:dyDescent="0.25">
      <c r="A37" s="1">
        <v>45537</v>
      </c>
      <c r="B37" t="s">
        <v>29</v>
      </c>
      <c r="C37">
        <v>422146</v>
      </c>
      <c r="D37" t="s">
        <v>40</v>
      </c>
      <c r="E37" s="3">
        <v>0.70138888888888895</v>
      </c>
      <c r="F37" s="3">
        <v>0.8125</v>
      </c>
    </row>
    <row r="38" spans="1:6" x14ac:dyDescent="0.25">
      <c r="A38" s="1">
        <v>45537</v>
      </c>
      <c r="B38" t="s">
        <v>29</v>
      </c>
      <c r="C38">
        <v>422147</v>
      </c>
      <c r="D38" t="s">
        <v>40</v>
      </c>
      <c r="E38" s="3">
        <v>0.8125</v>
      </c>
      <c r="F38" s="3">
        <v>0.95486111111111116</v>
      </c>
    </row>
    <row r="39" spans="1:6" x14ac:dyDescent="0.25">
      <c r="A39" s="1">
        <v>45538</v>
      </c>
      <c r="B39" t="s">
        <v>29</v>
      </c>
      <c r="C39">
        <v>422148</v>
      </c>
      <c r="D39" t="s">
        <v>43</v>
      </c>
      <c r="E39" s="3">
        <v>0.95486111111111116</v>
      </c>
      <c r="F39" s="3">
        <v>1.0451388888888888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7156D-DBB5-4EA9-A733-8897AD1035D5}">
  <dimension ref="A1:C13"/>
  <sheetViews>
    <sheetView workbookViewId="0">
      <selection activeCell="B8" sqref="B8"/>
    </sheetView>
  </sheetViews>
  <sheetFormatPr defaultRowHeight="15" x14ac:dyDescent="0.25"/>
  <cols>
    <col min="1" max="1" width="8.85546875" customWidth="1"/>
    <col min="2" max="2" width="19.28515625" bestFit="1" customWidth="1"/>
    <col min="3" max="3" width="16" customWidth="1"/>
  </cols>
  <sheetData>
    <row r="1" spans="1:3" x14ac:dyDescent="0.25">
      <c r="A1" s="2" t="s">
        <v>6</v>
      </c>
      <c r="B1" s="2" t="s">
        <v>22</v>
      </c>
      <c r="C1" s="2" t="s">
        <v>7</v>
      </c>
    </row>
    <row r="2" spans="1:3" x14ac:dyDescent="0.25">
      <c r="A2">
        <v>1</v>
      </c>
      <c r="B2" t="s">
        <v>17</v>
      </c>
      <c r="C2" t="s">
        <v>20</v>
      </c>
    </row>
    <row r="3" spans="1:3" x14ac:dyDescent="0.25">
      <c r="A3">
        <v>2</v>
      </c>
      <c r="B3" t="s">
        <v>8</v>
      </c>
      <c r="C3" t="s">
        <v>21</v>
      </c>
    </row>
    <row r="4" spans="1:3" x14ac:dyDescent="0.25">
      <c r="A4">
        <v>3</v>
      </c>
      <c r="B4" t="s">
        <v>19</v>
      </c>
      <c r="C4" t="s">
        <v>20</v>
      </c>
    </row>
    <row r="5" spans="1:3" x14ac:dyDescent="0.25">
      <c r="A5">
        <v>4</v>
      </c>
      <c r="B5" t="s">
        <v>14</v>
      </c>
      <c r="C5" t="s">
        <v>20</v>
      </c>
    </row>
    <row r="6" spans="1:3" x14ac:dyDescent="0.25">
      <c r="A6">
        <v>5</v>
      </c>
      <c r="B6" t="s">
        <v>10</v>
      </c>
      <c r="C6" t="s">
        <v>21</v>
      </c>
    </row>
    <row r="7" spans="1:3" x14ac:dyDescent="0.25">
      <c r="A7">
        <v>6</v>
      </c>
      <c r="B7" t="s">
        <v>9</v>
      </c>
      <c r="C7" t="s">
        <v>21</v>
      </c>
    </row>
    <row r="8" spans="1:3" x14ac:dyDescent="0.25">
      <c r="A8">
        <v>7</v>
      </c>
      <c r="B8" t="s">
        <v>12</v>
      </c>
      <c r="C8" t="s">
        <v>20</v>
      </c>
    </row>
    <row r="9" spans="1:3" x14ac:dyDescent="0.25">
      <c r="A9">
        <v>8</v>
      </c>
      <c r="B9" t="s">
        <v>13</v>
      </c>
      <c r="C9" t="s">
        <v>21</v>
      </c>
    </row>
    <row r="10" spans="1:3" x14ac:dyDescent="0.25">
      <c r="A10">
        <v>9</v>
      </c>
      <c r="B10" t="s">
        <v>15</v>
      </c>
      <c r="C10" t="s">
        <v>20</v>
      </c>
    </row>
    <row r="11" spans="1:3" x14ac:dyDescent="0.25">
      <c r="A11">
        <v>10</v>
      </c>
      <c r="B11" t="s">
        <v>18</v>
      </c>
      <c r="C11" t="s">
        <v>21</v>
      </c>
    </row>
    <row r="12" spans="1:3" x14ac:dyDescent="0.25">
      <c r="A12">
        <v>11</v>
      </c>
      <c r="B12" t="s">
        <v>11</v>
      </c>
      <c r="C12" t="s">
        <v>21</v>
      </c>
    </row>
    <row r="13" spans="1:3" x14ac:dyDescent="0.25">
      <c r="A13">
        <v>12</v>
      </c>
      <c r="B13" t="s">
        <v>16</v>
      </c>
      <c r="C13" t="s">
        <v>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891EA-1A52-41B5-BB8A-61412243ABC5}">
  <dimension ref="A1:G38"/>
  <sheetViews>
    <sheetView workbookViewId="0">
      <selection activeCell="J15" sqref="J15"/>
    </sheetView>
  </sheetViews>
  <sheetFormatPr defaultRowHeight="15" x14ac:dyDescent="0.25"/>
  <cols>
    <col min="1" max="1" width="10.42578125" bestFit="1" customWidth="1"/>
    <col min="2" max="2" width="10.28515625" bestFit="1" customWidth="1"/>
    <col min="3" max="3" width="8.28515625" bestFit="1" customWidth="1"/>
    <col min="4" max="4" width="11.28515625" bestFit="1" customWidth="1"/>
    <col min="5" max="5" width="12.42578125" bestFit="1" customWidth="1"/>
    <col min="6" max="6" width="11.5703125" bestFit="1" customWidth="1"/>
    <col min="7" max="7" width="18.140625" bestFit="1" customWidth="1"/>
  </cols>
  <sheetData>
    <row r="1" spans="1:7" x14ac:dyDescent="0.25">
      <c r="A1" t="s">
        <v>0</v>
      </c>
      <c r="B1" t="s">
        <v>1</v>
      </c>
      <c r="C1" t="s">
        <v>2</v>
      </c>
      <c r="D1" t="s">
        <v>3</v>
      </c>
      <c r="E1" t="s">
        <v>4</v>
      </c>
      <c r="F1" t="s">
        <v>5</v>
      </c>
      <c r="G1" t="s">
        <v>44</v>
      </c>
    </row>
    <row r="2" spans="1:7" x14ac:dyDescent="0.25">
      <c r="A2" s="5">
        <v>45533</v>
      </c>
      <c r="B2" t="s">
        <v>24</v>
      </c>
      <c r="C2" t="s">
        <v>45</v>
      </c>
      <c r="D2" t="s">
        <v>43</v>
      </c>
      <c r="E2" s="6">
        <v>0.49305555555555558</v>
      </c>
      <c r="F2" s="6">
        <v>0.58680555555555558</v>
      </c>
      <c r="G2">
        <v>135</v>
      </c>
    </row>
    <row r="3" spans="1:7" x14ac:dyDescent="0.25">
      <c r="A3" s="5">
        <v>45533</v>
      </c>
      <c r="B3" t="s">
        <v>25</v>
      </c>
      <c r="C3" t="s">
        <v>46</v>
      </c>
      <c r="D3" t="s">
        <v>43</v>
      </c>
      <c r="E3" s="6">
        <v>0.58680555555555558</v>
      </c>
      <c r="F3" s="6">
        <v>0.65625</v>
      </c>
      <c r="G3">
        <v>100</v>
      </c>
    </row>
    <row r="4" spans="1:7" x14ac:dyDescent="0.25">
      <c r="A4" s="5">
        <v>45533</v>
      </c>
      <c r="B4" t="s">
        <v>25</v>
      </c>
      <c r="C4" t="s">
        <v>47</v>
      </c>
      <c r="D4" t="s">
        <v>43</v>
      </c>
      <c r="E4" s="6">
        <v>0.65625</v>
      </c>
      <c r="F4" s="6">
        <v>0.73263888888888884</v>
      </c>
      <c r="G4">
        <v>110</v>
      </c>
    </row>
    <row r="5" spans="1:7" x14ac:dyDescent="0.25">
      <c r="A5" s="5">
        <v>45533</v>
      </c>
      <c r="B5" t="s">
        <v>25</v>
      </c>
      <c r="C5" t="s">
        <v>48</v>
      </c>
      <c r="D5" t="s">
        <v>43</v>
      </c>
      <c r="E5" s="6">
        <v>0.73263888888888884</v>
      </c>
      <c r="F5" s="6">
        <v>0.80208333333333337</v>
      </c>
      <c r="G5">
        <v>100</v>
      </c>
    </row>
    <row r="6" spans="1:7" x14ac:dyDescent="0.25">
      <c r="A6" s="5">
        <v>45533</v>
      </c>
      <c r="B6" t="s">
        <v>25</v>
      </c>
      <c r="C6" t="s">
        <v>49</v>
      </c>
      <c r="D6" t="s">
        <v>40</v>
      </c>
      <c r="E6" s="6">
        <v>0.80208333333333337</v>
      </c>
      <c r="F6" s="6">
        <v>0.86041666666666672</v>
      </c>
      <c r="G6">
        <v>84</v>
      </c>
    </row>
    <row r="7" spans="1:7" x14ac:dyDescent="0.25">
      <c r="A7" s="5">
        <v>45533</v>
      </c>
      <c r="B7" t="s">
        <v>25</v>
      </c>
      <c r="C7" t="s">
        <v>50</v>
      </c>
      <c r="D7" t="s">
        <v>40</v>
      </c>
      <c r="E7" s="6">
        <v>0.86041666666666672</v>
      </c>
      <c r="F7" s="6">
        <v>0.90208333333333335</v>
      </c>
      <c r="G7">
        <v>60</v>
      </c>
    </row>
    <row r="8" spans="1:7" x14ac:dyDescent="0.25">
      <c r="A8" s="5">
        <v>45533</v>
      </c>
      <c r="B8" t="s">
        <v>25</v>
      </c>
      <c r="C8" t="s">
        <v>51</v>
      </c>
      <c r="D8" t="s">
        <v>40</v>
      </c>
      <c r="E8" s="6">
        <v>0.90208333333333335</v>
      </c>
      <c r="F8" s="6">
        <v>0.95416666666666672</v>
      </c>
      <c r="G8">
        <v>75</v>
      </c>
    </row>
    <row r="9" spans="1:7" x14ac:dyDescent="0.25">
      <c r="A9" s="5">
        <v>45534</v>
      </c>
      <c r="B9" t="s">
        <v>26</v>
      </c>
      <c r="C9" t="s">
        <v>52</v>
      </c>
      <c r="D9" t="s">
        <v>41</v>
      </c>
      <c r="E9" s="6">
        <v>0.1701388888888889</v>
      </c>
      <c r="F9" s="6">
        <v>0.25347222222222221</v>
      </c>
      <c r="G9">
        <v>120</v>
      </c>
    </row>
    <row r="10" spans="1:7" x14ac:dyDescent="0.25">
      <c r="A10" s="5">
        <v>45534</v>
      </c>
      <c r="B10" t="s">
        <v>26</v>
      </c>
      <c r="C10" t="s">
        <v>53</v>
      </c>
      <c r="D10" t="s">
        <v>41</v>
      </c>
      <c r="E10" s="6">
        <v>0.25347222222222221</v>
      </c>
      <c r="F10" s="6">
        <v>0.3125</v>
      </c>
      <c r="G10">
        <v>85</v>
      </c>
    </row>
    <row r="11" spans="1:7" x14ac:dyDescent="0.25">
      <c r="A11" s="5">
        <v>45534</v>
      </c>
      <c r="B11" t="s">
        <v>26</v>
      </c>
      <c r="C11" t="s">
        <v>54</v>
      </c>
      <c r="D11" t="s">
        <v>41</v>
      </c>
      <c r="E11" s="6">
        <v>0.3125</v>
      </c>
      <c r="F11" s="6">
        <v>0.39027777777777778</v>
      </c>
      <c r="G11">
        <v>112</v>
      </c>
    </row>
    <row r="12" spans="1:7" x14ac:dyDescent="0.25">
      <c r="A12" s="5">
        <v>45534</v>
      </c>
      <c r="B12" t="s">
        <v>26</v>
      </c>
      <c r="C12" t="s">
        <v>55</v>
      </c>
      <c r="D12" t="s">
        <v>42</v>
      </c>
      <c r="E12" s="6">
        <v>0.39027777777777778</v>
      </c>
      <c r="F12" s="6">
        <v>0.44236111111111109</v>
      </c>
      <c r="G12">
        <v>75</v>
      </c>
    </row>
    <row r="13" spans="1:7" x14ac:dyDescent="0.25">
      <c r="A13" s="5">
        <v>45534</v>
      </c>
      <c r="B13" t="s">
        <v>26</v>
      </c>
      <c r="C13" t="s">
        <v>56</v>
      </c>
      <c r="D13" t="s">
        <v>42</v>
      </c>
      <c r="E13" s="6">
        <v>0.44236111111111109</v>
      </c>
      <c r="F13" s="6">
        <v>0.50138888888888888</v>
      </c>
      <c r="G13">
        <v>85</v>
      </c>
    </row>
    <row r="14" spans="1:7" x14ac:dyDescent="0.25">
      <c r="A14" s="5">
        <v>45534</v>
      </c>
      <c r="B14" t="s">
        <v>26</v>
      </c>
      <c r="C14" t="s">
        <v>57</v>
      </c>
      <c r="D14" t="s">
        <v>42</v>
      </c>
      <c r="E14" s="6">
        <v>0.50138888888888888</v>
      </c>
      <c r="F14" s="6">
        <v>0.59375</v>
      </c>
      <c r="G14">
        <v>133</v>
      </c>
    </row>
    <row r="15" spans="1:7" x14ac:dyDescent="0.25">
      <c r="A15" s="5">
        <v>45534</v>
      </c>
      <c r="B15" t="s">
        <v>26</v>
      </c>
      <c r="C15" t="s">
        <v>58</v>
      </c>
      <c r="D15" t="s">
        <v>42</v>
      </c>
      <c r="E15" s="6">
        <v>0.59375</v>
      </c>
      <c r="F15" s="6">
        <v>0.66319444444444442</v>
      </c>
      <c r="G15">
        <v>100</v>
      </c>
    </row>
    <row r="16" spans="1:7" x14ac:dyDescent="0.25">
      <c r="A16" s="5">
        <v>45534</v>
      </c>
      <c r="B16" t="s">
        <v>26</v>
      </c>
      <c r="C16" t="s">
        <v>59</v>
      </c>
      <c r="D16" t="s">
        <v>40</v>
      </c>
      <c r="E16" s="6">
        <v>0.66319444444444442</v>
      </c>
      <c r="F16" s="6">
        <v>0.71875</v>
      </c>
      <c r="G16">
        <v>80</v>
      </c>
    </row>
    <row r="17" spans="1:7" x14ac:dyDescent="0.25">
      <c r="A17" s="5">
        <v>45534</v>
      </c>
      <c r="B17" t="s">
        <v>26</v>
      </c>
      <c r="C17" t="s">
        <v>60</v>
      </c>
      <c r="D17" t="s">
        <v>40</v>
      </c>
      <c r="E17" s="6">
        <v>0.71875</v>
      </c>
      <c r="F17" s="6">
        <v>0.79097222222222219</v>
      </c>
      <c r="G17">
        <v>104</v>
      </c>
    </row>
    <row r="18" spans="1:7" x14ac:dyDescent="0.25">
      <c r="A18" s="5">
        <v>45534</v>
      </c>
      <c r="B18" t="s">
        <v>26</v>
      </c>
      <c r="C18" t="s">
        <v>61</v>
      </c>
      <c r="D18" t="s">
        <v>40</v>
      </c>
      <c r="E18" s="6">
        <v>0.79097222222222219</v>
      </c>
      <c r="F18" s="6">
        <v>0.84861111111111109</v>
      </c>
      <c r="G18">
        <v>83</v>
      </c>
    </row>
    <row r="19" spans="1:7" x14ac:dyDescent="0.25">
      <c r="A19" s="5">
        <v>45534</v>
      </c>
      <c r="B19" t="s">
        <v>26</v>
      </c>
      <c r="C19" t="s">
        <v>62</v>
      </c>
      <c r="D19" t="s">
        <v>40</v>
      </c>
      <c r="E19" s="6">
        <v>0.84861111111111109</v>
      </c>
      <c r="F19" s="6">
        <v>0.92638888888888893</v>
      </c>
      <c r="G19">
        <v>112</v>
      </c>
    </row>
    <row r="20" spans="1:7" x14ac:dyDescent="0.25">
      <c r="A20" s="5">
        <v>45534</v>
      </c>
      <c r="B20" t="s">
        <v>26</v>
      </c>
      <c r="C20" t="s">
        <v>63</v>
      </c>
      <c r="D20" t="s">
        <v>40</v>
      </c>
      <c r="E20" s="6">
        <v>0.92638888888888893</v>
      </c>
      <c r="F20" s="6">
        <v>0.97847222222222219</v>
      </c>
      <c r="G20">
        <v>75</v>
      </c>
    </row>
    <row r="21" spans="1:7" x14ac:dyDescent="0.25">
      <c r="A21" s="5">
        <v>45535</v>
      </c>
      <c r="B21" t="s">
        <v>26</v>
      </c>
      <c r="C21" t="s">
        <v>64</v>
      </c>
      <c r="D21" t="s">
        <v>41</v>
      </c>
      <c r="E21" s="6">
        <v>0.32291666666666669</v>
      </c>
      <c r="F21" s="6">
        <v>0.37847222222222221</v>
      </c>
      <c r="G21">
        <v>80</v>
      </c>
    </row>
    <row r="22" spans="1:7" x14ac:dyDescent="0.25">
      <c r="A22" s="5">
        <v>45535</v>
      </c>
      <c r="B22" t="s">
        <v>26</v>
      </c>
      <c r="C22" t="s">
        <v>65</v>
      </c>
      <c r="D22" t="s">
        <v>41</v>
      </c>
      <c r="E22" s="6">
        <v>0.37847222222222221</v>
      </c>
      <c r="F22" s="6">
        <v>0.44097222222222221</v>
      </c>
      <c r="G22">
        <v>90</v>
      </c>
    </row>
    <row r="23" spans="1:7" x14ac:dyDescent="0.25">
      <c r="A23" s="5">
        <v>45535</v>
      </c>
      <c r="B23" t="s">
        <v>26</v>
      </c>
      <c r="C23" t="s">
        <v>66</v>
      </c>
      <c r="D23" t="s">
        <v>41</v>
      </c>
      <c r="E23" s="6">
        <v>0.44097222222222221</v>
      </c>
      <c r="F23" s="6">
        <v>0.4826388888888889</v>
      </c>
      <c r="G23">
        <v>60</v>
      </c>
    </row>
    <row r="24" spans="1:7" x14ac:dyDescent="0.25">
      <c r="A24" s="5">
        <v>45535</v>
      </c>
      <c r="B24" t="s">
        <v>27</v>
      </c>
      <c r="C24" t="s">
        <v>67</v>
      </c>
      <c r="D24" t="s">
        <v>41</v>
      </c>
      <c r="E24" s="6">
        <v>0.4826388888888889</v>
      </c>
      <c r="F24" s="6">
        <v>0.53819444444444442</v>
      </c>
      <c r="G24">
        <v>80</v>
      </c>
    </row>
    <row r="25" spans="1:7" x14ac:dyDescent="0.25">
      <c r="A25" s="5">
        <v>45535</v>
      </c>
      <c r="B25" t="s">
        <v>27</v>
      </c>
      <c r="C25" t="s">
        <v>68</v>
      </c>
      <c r="D25" t="s">
        <v>43</v>
      </c>
      <c r="E25" s="6">
        <v>0.53819444444444442</v>
      </c>
      <c r="F25" s="6">
        <v>0.61458333333333337</v>
      </c>
      <c r="G25">
        <v>110</v>
      </c>
    </row>
    <row r="26" spans="1:7" x14ac:dyDescent="0.25">
      <c r="A26" s="5">
        <v>45535</v>
      </c>
      <c r="B26" t="s">
        <v>27</v>
      </c>
      <c r="C26" t="s">
        <v>69</v>
      </c>
      <c r="D26" t="s">
        <v>43</v>
      </c>
      <c r="E26" s="6">
        <v>0.61458333333333337</v>
      </c>
      <c r="F26" s="6">
        <v>0.6875</v>
      </c>
      <c r="G26">
        <v>105</v>
      </c>
    </row>
    <row r="27" spans="1:7" x14ac:dyDescent="0.25">
      <c r="A27" s="5">
        <v>45535</v>
      </c>
      <c r="B27" t="s">
        <v>27</v>
      </c>
      <c r="C27" t="s">
        <v>70</v>
      </c>
      <c r="D27" t="s">
        <v>43</v>
      </c>
      <c r="E27" s="6">
        <v>0.6875</v>
      </c>
      <c r="F27" s="6">
        <v>0.72916666666666663</v>
      </c>
      <c r="G27">
        <v>60</v>
      </c>
    </row>
    <row r="28" spans="1:7" x14ac:dyDescent="0.25">
      <c r="A28" s="5">
        <v>45537</v>
      </c>
      <c r="B28" t="s">
        <v>28</v>
      </c>
      <c r="C28" t="s">
        <v>71</v>
      </c>
      <c r="D28" t="s">
        <v>41</v>
      </c>
      <c r="E28" s="6">
        <v>4.1666666666666664E-2</v>
      </c>
      <c r="F28" s="6">
        <v>0.11458333333333333</v>
      </c>
      <c r="G28">
        <v>105</v>
      </c>
    </row>
    <row r="29" spans="1:7" x14ac:dyDescent="0.25">
      <c r="A29" s="5">
        <v>45537</v>
      </c>
      <c r="B29" t="s">
        <v>28</v>
      </c>
      <c r="C29" t="s">
        <v>72</v>
      </c>
      <c r="D29" t="s">
        <v>41</v>
      </c>
      <c r="E29" s="6">
        <v>0.11458333333333333</v>
      </c>
      <c r="F29" s="6">
        <v>0.1701388888888889</v>
      </c>
      <c r="G29">
        <v>80</v>
      </c>
    </row>
    <row r="30" spans="1:7" x14ac:dyDescent="0.25">
      <c r="A30" s="5">
        <v>45537</v>
      </c>
      <c r="B30" t="s">
        <v>28</v>
      </c>
      <c r="C30" t="s">
        <v>73</v>
      </c>
      <c r="D30" t="s">
        <v>41</v>
      </c>
      <c r="E30" s="6">
        <v>0.1701388888888889</v>
      </c>
      <c r="F30" s="6">
        <v>0.2361111111111111</v>
      </c>
      <c r="G30">
        <v>95</v>
      </c>
    </row>
    <row r="31" spans="1:7" x14ac:dyDescent="0.25">
      <c r="A31" s="5">
        <v>45537</v>
      </c>
      <c r="B31" t="s">
        <v>28</v>
      </c>
      <c r="C31" t="s">
        <v>74</v>
      </c>
      <c r="D31" t="s">
        <v>41</v>
      </c>
      <c r="E31" s="6">
        <v>0.2361111111111111</v>
      </c>
      <c r="F31" s="6">
        <v>0.3215277777777778</v>
      </c>
      <c r="G31">
        <v>123</v>
      </c>
    </row>
    <row r="32" spans="1:7" x14ac:dyDescent="0.25">
      <c r="A32" s="5">
        <v>45537</v>
      </c>
      <c r="B32" t="s">
        <v>28</v>
      </c>
      <c r="C32" t="s">
        <v>75</v>
      </c>
      <c r="D32" t="s">
        <v>42</v>
      </c>
      <c r="E32" s="6">
        <v>0.3215277777777778</v>
      </c>
      <c r="F32" s="6">
        <v>0.36805555555555558</v>
      </c>
      <c r="G32">
        <v>67</v>
      </c>
    </row>
    <row r="33" spans="1:7" x14ac:dyDescent="0.25">
      <c r="A33" s="5">
        <v>45537</v>
      </c>
      <c r="B33" t="s">
        <v>28</v>
      </c>
      <c r="C33" t="s">
        <v>76</v>
      </c>
      <c r="D33" t="s">
        <v>42</v>
      </c>
      <c r="E33" s="6">
        <v>0.36805555555555558</v>
      </c>
      <c r="F33" s="6">
        <v>0.43055555555555558</v>
      </c>
      <c r="G33">
        <v>90</v>
      </c>
    </row>
    <row r="34" spans="1:7" x14ac:dyDescent="0.25">
      <c r="A34" s="5">
        <v>45537</v>
      </c>
      <c r="B34" t="s">
        <v>28</v>
      </c>
      <c r="C34" t="s">
        <v>77</v>
      </c>
      <c r="D34" t="s">
        <v>42</v>
      </c>
      <c r="E34" s="6">
        <v>0.43055555555555558</v>
      </c>
      <c r="F34" s="6">
        <v>0.51249999999999996</v>
      </c>
      <c r="G34">
        <v>118</v>
      </c>
    </row>
    <row r="35" spans="1:7" x14ac:dyDescent="0.25">
      <c r="A35" s="5">
        <v>45537</v>
      </c>
      <c r="B35" t="s">
        <v>29</v>
      </c>
      <c r="C35" t="s">
        <v>78</v>
      </c>
      <c r="D35" t="s">
        <v>42</v>
      </c>
      <c r="E35" s="6">
        <v>0.51249999999999996</v>
      </c>
      <c r="F35" s="6">
        <v>0.61805555555555558</v>
      </c>
      <c r="G35">
        <v>152</v>
      </c>
    </row>
    <row r="36" spans="1:7" x14ac:dyDescent="0.25">
      <c r="A36" s="5">
        <v>45537</v>
      </c>
      <c r="B36" t="s">
        <v>29</v>
      </c>
      <c r="C36" t="s">
        <v>79</v>
      </c>
      <c r="D36" t="s">
        <v>40</v>
      </c>
      <c r="E36" s="6">
        <v>0.61805555555555558</v>
      </c>
      <c r="F36" s="6">
        <v>0.70138888888888884</v>
      </c>
      <c r="G36">
        <v>120</v>
      </c>
    </row>
    <row r="37" spans="1:7" x14ac:dyDescent="0.25">
      <c r="A37" s="5">
        <v>45537</v>
      </c>
      <c r="B37" t="s">
        <v>29</v>
      </c>
      <c r="C37" t="s">
        <v>80</v>
      </c>
      <c r="D37" t="s">
        <v>40</v>
      </c>
      <c r="E37" s="6">
        <v>0.70138888888888884</v>
      </c>
      <c r="F37" s="6">
        <v>0.8125</v>
      </c>
      <c r="G37">
        <v>160</v>
      </c>
    </row>
    <row r="38" spans="1:7" x14ac:dyDescent="0.25">
      <c r="A38" s="5">
        <v>45537</v>
      </c>
      <c r="B38" t="s">
        <v>29</v>
      </c>
      <c r="C38" t="s">
        <v>81</v>
      </c>
      <c r="D38" t="s">
        <v>40</v>
      </c>
      <c r="E38" s="6">
        <v>0.8125</v>
      </c>
      <c r="F38" s="6">
        <v>0.95486111111111116</v>
      </c>
      <c r="G38">
        <v>205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A7A9A-369F-46C5-93C5-09FBB32FF7C0}">
  <dimension ref="A1:D7"/>
  <sheetViews>
    <sheetView workbookViewId="0">
      <selection activeCell="G11" sqref="G11"/>
    </sheetView>
  </sheetViews>
  <sheetFormatPr defaultRowHeight="15" x14ac:dyDescent="0.25"/>
  <cols>
    <col min="1" max="1" width="10.140625" customWidth="1"/>
    <col min="2" max="2" width="11.140625" bestFit="1" customWidth="1"/>
    <col min="4" max="4" width="16.42578125" customWidth="1"/>
  </cols>
  <sheetData>
    <row r="1" spans="1:4" x14ac:dyDescent="0.25">
      <c r="A1" s="2" t="s">
        <v>1</v>
      </c>
      <c r="B1" s="2" t="s">
        <v>30</v>
      </c>
      <c r="C1" s="2" t="s">
        <v>31</v>
      </c>
      <c r="D1" s="2" t="s">
        <v>39</v>
      </c>
    </row>
    <row r="2" spans="1:4" x14ac:dyDescent="0.25">
      <c r="A2" t="s">
        <v>24</v>
      </c>
      <c r="B2" t="s">
        <v>32</v>
      </c>
      <c r="C2" t="s">
        <v>38</v>
      </c>
      <c r="D2">
        <v>60</v>
      </c>
    </row>
    <row r="3" spans="1:4" x14ac:dyDescent="0.25">
      <c r="A3" t="s">
        <v>25</v>
      </c>
      <c r="B3" t="s">
        <v>33</v>
      </c>
      <c r="C3" t="s">
        <v>38</v>
      </c>
      <c r="D3">
        <v>60</v>
      </c>
    </row>
    <row r="4" spans="1:4" x14ac:dyDescent="0.25">
      <c r="A4" t="s">
        <v>26</v>
      </c>
      <c r="B4" t="s">
        <v>34</v>
      </c>
      <c r="C4" t="s">
        <v>38</v>
      </c>
      <c r="D4">
        <v>60</v>
      </c>
    </row>
    <row r="5" spans="1:4" x14ac:dyDescent="0.25">
      <c r="A5" t="s">
        <v>27</v>
      </c>
      <c r="B5" t="s">
        <v>35</v>
      </c>
      <c r="C5" t="s">
        <v>38</v>
      </c>
      <c r="D5">
        <v>60</v>
      </c>
    </row>
    <row r="6" spans="1:4" x14ac:dyDescent="0.25">
      <c r="A6" t="s">
        <v>28</v>
      </c>
      <c r="B6" t="s">
        <v>36</v>
      </c>
      <c r="C6" t="s">
        <v>38</v>
      </c>
      <c r="D6">
        <v>60</v>
      </c>
    </row>
    <row r="7" spans="1:4" x14ac:dyDescent="0.25">
      <c r="A7" t="s">
        <v>29</v>
      </c>
      <c r="B7" t="s">
        <v>34</v>
      </c>
      <c r="C7" t="s">
        <v>37</v>
      </c>
      <c r="D7">
        <v>98</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3187F-DA8D-4726-894C-D5866E01D18D}">
  <dimension ref="A1:M60"/>
  <sheetViews>
    <sheetView topLeftCell="E1" workbookViewId="0">
      <selection activeCell="N10" sqref="N10"/>
    </sheetView>
  </sheetViews>
  <sheetFormatPr defaultRowHeight="15" x14ac:dyDescent="0.25"/>
  <cols>
    <col min="1" max="1" width="10.42578125" bestFit="1" customWidth="1"/>
    <col min="2" max="2" width="8.28515625" bestFit="1" customWidth="1"/>
    <col min="3" max="3" width="10.28515625" bestFit="1" customWidth="1"/>
    <col min="4" max="4" width="18.7109375" bestFit="1" customWidth="1"/>
    <col min="5" max="5" width="12.5703125" bestFit="1" customWidth="1"/>
    <col min="6" max="6" width="19.28515625" bestFit="1" customWidth="1"/>
    <col min="7" max="7" width="16.28515625" bestFit="1" customWidth="1"/>
    <col min="8" max="8" width="16.85546875" bestFit="1" customWidth="1"/>
    <col min="9" max="9" width="11.28515625" bestFit="1" customWidth="1"/>
    <col min="10" max="10" width="18.140625" bestFit="1" customWidth="1"/>
    <col min="11" max="11" width="11.140625" bestFit="1" customWidth="1"/>
    <col min="12" max="12" width="7" bestFit="1" customWidth="1"/>
    <col min="13" max="13" width="16.7109375" customWidth="1"/>
  </cols>
  <sheetData>
    <row r="1" spans="1:13" x14ac:dyDescent="0.25">
      <c r="A1" t="s">
        <v>0</v>
      </c>
      <c r="B1" t="s">
        <v>2</v>
      </c>
      <c r="C1" t="s">
        <v>1</v>
      </c>
      <c r="D1" t="s">
        <v>95</v>
      </c>
      <c r="E1" t="s">
        <v>96</v>
      </c>
      <c r="F1" t="s">
        <v>22</v>
      </c>
      <c r="G1" t="s">
        <v>7</v>
      </c>
      <c r="H1" t="s">
        <v>97</v>
      </c>
      <c r="I1" t="s">
        <v>3</v>
      </c>
      <c r="J1" t="s">
        <v>44</v>
      </c>
      <c r="K1" t="s">
        <v>30</v>
      </c>
      <c r="L1" t="s">
        <v>31</v>
      </c>
      <c r="M1" t="s">
        <v>39</v>
      </c>
    </row>
    <row r="2" spans="1:13" x14ac:dyDescent="0.25">
      <c r="A2" s="5">
        <v>45533</v>
      </c>
      <c r="B2" t="s">
        <v>45</v>
      </c>
      <c r="C2" t="s">
        <v>24</v>
      </c>
      <c r="D2">
        <v>2</v>
      </c>
      <c r="E2">
        <v>60</v>
      </c>
      <c r="F2" t="s">
        <v>8</v>
      </c>
      <c r="G2" t="s">
        <v>21</v>
      </c>
      <c r="H2">
        <v>120</v>
      </c>
      <c r="I2" t="s">
        <v>43</v>
      </c>
      <c r="J2">
        <v>135</v>
      </c>
      <c r="K2" t="s">
        <v>32</v>
      </c>
      <c r="L2" t="s">
        <v>38</v>
      </c>
      <c r="M2">
        <v>60</v>
      </c>
    </row>
    <row r="3" spans="1:13" x14ac:dyDescent="0.25">
      <c r="A3" s="5">
        <v>45533</v>
      </c>
      <c r="B3" t="s">
        <v>45</v>
      </c>
      <c r="C3" t="s">
        <v>24</v>
      </c>
      <c r="D3">
        <v>7</v>
      </c>
      <c r="E3">
        <v>15</v>
      </c>
      <c r="F3" t="s">
        <v>12</v>
      </c>
      <c r="G3" t="s">
        <v>20</v>
      </c>
      <c r="H3">
        <v>105</v>
      </c>
      <c r="I3" t="s">
        <v>43</v>
      </c>
      <c r="J3">
        <v>135</v>
      </c>
      <c r="K3" t="s">
        <v>32</v>
      </c>
      <c r="L3" t="s">
        <v>38</v>
      </c>
      <c r="M3">
        <v>60</v>
      </c>
    </row>
    <row r="4" spans="1:13" x14ac:dyDescent="0.25">
      <c r="A4" s="5">
        <v>45533</v>
      </c>
      <c r="B4" t="s">
        <v>46</v>
      </c>
      <c r="C4" t="s">
        <v>25</v>
      </c>
      <c r="D4">
        <v>2</v>
      </c>
      <c r="E4">
        <v>20</v>
      </c>
      <c r="F4" t="s">
        <v>8</v>
      </c>
      <c r="G4" t="s">
        <v>21</v>
      </c>
      <c r="H4">
        <v>40</v>
      </c>
      <c r="I4" t="s">
        <v>43</v>
      </c>
      <c r="J4">
        <v>100</v>
      </c>
      <c r="K4" t="s">
        <v>33</v>
      </c>
      <c r="L4" t="s">
        <v>38</v>
      </c>
      <c r="M4">
        <v>60</v>
      </c>
    </row>
    <row r="5" spans="1:13" x14ac:dyDescent="0.25">
      <c r="A5" s="5">
        <v>45533</v>
      </c>
      <c r="B5" t="s">
        <v>46</v>
      </c>
      <c r="C5" t="s">
        <v>25</v>
      </c>
      <c r="D5">
        <v>8</v>
      </c>
      <c r="E5">
        <v>20</v>
      </c>
      <c r="F5" t="s">
        <v>13</v>
      </c>
      <c r="G5" t="s">
        <v>21</v>
      </c>
      <c r="H5">
        <v>160</v>
      </c>
      <c r="I5" t="s">
        <v>43</v>
      </c>
      <c r="J5">
        <v>100</v>
      </c>
      <c r="K5" t="s">
        <v>33</v>
      </c>
      <c r="L5" t="s">
        <v>38</v>
      </c>
      <c r="M5">
        <v>60</v>
      </c>
    </row>
    <row r="6" spans="1:13" x14ac:dyDescent="0.25">
      <c r="A6" s="5">
        <v>45533</v>
      </c>
      <c r="B6" t="s">
        <v>47</v>
      </c>
      <c r="C6" t="s">
        <v>25</v>
      </c>
      <c r="D6">
        <v>2</v>
      </c>
      <c r="E6">
        <v>50</v>
      </c>
      <c r="F6" t="s">
        <v>8</v>
      </c>
      <c r="G6" t="s">
        <v>21</v>
      </c>
      <c r="H6">
        <v>100</v>
      </c>
      <c r="I6" t="s">
        <v>43</v>
      </c>
      <c r="J6">
        <v>110</v>
      </c>
      <c r="K6" t="s">
        <v>33</v>
      </c>
      <c r="L6" t="s">
        <v>38</v>
      </c>
      <c r="M6">
        <v>60</v>
      </c>
    </row>
    <row r="7" spans="1:13" x14ac:dyDescent="0.25">
      <c r="A7" s="5">
        <v>45533</v>
      </c>
      <c r="B7" t="s">
        <v>48</v>
      </c>
      <c r="C7" t="s">
        <v>25</v>
      </c>
      <c r="D7">
        <v>4</v>
      </c>
      <c r="E7">
        <v>25</v>
      </c>
      <c r="F7" t="s">
        <v>14</v>
      </c>
      <c r="G7" t="s">
        <v>20</v>
      </c>
      <c r="H7">
        <v>100</v>
      </c>
      <c r="I7" t="s">
        <v>43</v>
      </c>
      <c r="J7">
        <v>100</v>
      </c>
      <c r="K7" t="s">
        <v>33</v>
      </c>
      <c r="L7" t="s">
        <v>38</v>
      </c>
      <c r="M7">
        <v>60</v>
      </c>
    </row>
    <row r="8" spans="1:13" x14ac:dyDescent="0.25">
      <c r="A8" s="5">
        <v>45533</v>
      </c>
      <c r="B8" t="s">
        <v>48</v>
      </c>
      <c r="C8" t="s">
        <v>25</v>
      </c>
      <c r="D8">
        <v>6</v>
      </c>
      <c r="E8">
        <v>15</v>
      </c>
      <c r="F8" t="s">
        <v>9</v>
      </c>
      <c r="G8" t="s">
        <v>21</v>
      </c>
      <c r="H8">
        <v>90</v>
      </c>
      <c r="I8" t="s">
        <v>43</v>
      </c>
      <c r="J8">
        <v>100</v>
      </c>
      <c r="K8" t="s">
        <v>33</v>
      </c>
      <c r="L8" t="s">
        <v>38</v>
      </c>
      <c r="M8">
        <v>60</v>
      </c>
    </row>
    <row r="9" spans="1:13" x14ac:dyDescent="0.25">
      <c r="A9" s="5">
        <v>45533</v>
      </c>
      <c r="B9" t="s">
        <v>49</v>
      </c>
      <c r="C9" t="s">
        <v>25</v>
      </c>
      <c r="D9">
        <v>10</v>
      </c>
      <c r="E9">
        <v>24</v>
      </c>
      <c r="F9" t="s">
        <v>18</v>
      </c>
      <c r="G9" t="s">
        <v>21</v>
      </c>
      <c r="H9">
        <v>240</v>
      </c>
      <c r="I9" t="s">
        <v>40</v>
      </c>
      <c r="J9">
        <v>84</v>
      </c>
      <c r="K9" t="s">
        <v>33</v>
      </c>
      <c r="L9" t="s">
        <v>38</v>
      </c>
      <c r="M9">
        <v>60</v>
      </c>
    </row>
    <row r="10" spans="1:13" x14ac:dyDescent="0.25">
      <c r="A10" s="5">
        <v>45533</v>
      </c>
      <c r="B10" t="s">
        <v>51</v>
      </c>
      <c r="C10" t="s">
        <v>25</v>
      </c>
      <c r="D10">
        <v>2</v>
      </c>
      <c r="E10">
        <v>10</v>
      </c>
      <c r="F10" t="s">
        <v>8</v>
      </c>
      <c r="G10" t="s">
        <v>21</v>
      </c>
      <c r="H10">
        <v>20</v>
      </c>
      <c r="I10" t="s">
        <v>40</v>
      </c>
      <c r="J10">
        <v>75</v>
      </c>
      <c r="K10" t="s">
        <v>33</v>
      </c>
      <c r="L10" t="s">
        <v>38</v>
      </c>
      <c r="M10">
        <v>60</v>
      </c>
    </row>
    <row r="11" spans="1:13" x14ac:dyDescent="0.25">
      <c r="A11" s="5">
        <v>45533</v>
      </c>
      <c r="B11" t="s">
        <v>51</v>
      </c>
      <c r="C11" t="s">
        <v>25</v>
      </c>
      <c r="D11">
        <v>6</v>
      </c>
      <c r="E11">
        <v>5</v>
      </c>
      <c r="F11" t="s">
        <v>9</v>
      </c>
      <c r="G11" t="s">
        <v>21</v>
      </c>
      <c r="H11">
        <v>30</v>
      </c>
      <c r="I11" t="s">
        <v>40</v>
      </c>
      <c r="J11">
        <v>75</v>
      </c>
      <c r="K11" t="s">
        <v>33</v>
      </c>
      <c r="L11" t="s">
        <v>38</v>
      </c>
      <c r="M11">
        <v>60</v>
      </c>
    </row>
    <row r="12" spans="1:13" x14ac:dyDescent="0.25">
      <c r="A12" s="5">
        <v>45534</v>
      </c>
      <c r="B12" t="s">
        <v>52</v>
      </c>
      <c r="C12" t="s">
        <v>26</v>
      </c>
      <c r="D12">
        <v>7</v>
      </c>
      <c r="E12">
        <v>16</v>
      </c>
      <c r="F12" t="s">
        <v>12</v>
      </c>
      <c r="G12" t="s">
        <v>20</v>
      </c>
      <c r="H12">
        <v>112</v>
      </c>
      <c r="I12" t="s">
        <v>41</v>
      </c>
      <c r="J12">
        <v>120</v>
      </c>
      <c r="K12" t="s">
        <v>34</v>
      </c>
      <c r="L12" t="s">
        <v>38</v>
      </c>
      <c r="M12">
        <v>60</v>
      </c>
    </row>
    <row r="13" spans="1:13" x14ac:dyDescent="0.25">
      <c r="A13" s="5">
        <v>45534</v>
      </c>
      <c r="B13" t="s">
        <v>52</v>
      </c>
      <c r="C13" t="s">
        <v>26</v>
      </c>
      <c r="D13">
        <v>6</v>
      </c>
      <c r="E13">
        <v>14</v>
      </c>
      <c r="F13" t="s">
        <v>9</v>
      </c>
      <c r="G13" t="s">
        <v>21</v>
      </c>
      <c r="H13">
        <v>84</v>
      </c>
      <c r="I13" t="s">
        <v>41</v>
      </c>
      <c r="J13">
        <v>120</v>
      </c>
      <c r="K13" t="s">
        <v>34</v>
      </c>
      <c r="L13" t="s">
        <v>38</v>
      </c>
      <c r="M13">
        <v>60</v>
      </c>
    </row>
    <row r="14" spans="1:13" x14ac:dyDescent="0.25">
      <c r="A14" s="5">
        <v>45534</v>
      </c>
      <c r="B14" t="s">
        <v>52</v>
      </c>
      <c r="C14" t="s">
        <v>26</v>
      </c>
      <c r="D14">
        <v>11</v>
      </c>
      <c r="E14">
        <v>10</v>
      </c>
      <c r="F14" t="s">
        <v>11</v>
      </c>
      <c r="G14" t="s">
        <v>21</v>
      </c>
      <c r="H14">
        <v>110</v>
      </c>
      <c r="I14" t="s">
        <v>41</v>
      </c>
      <c r="J14">
        <v>120</v>
      </c>
      <c r="K14" t="s">
        <v>34</v>
      </c>
      <c r="L14" t="s">
        <v>38</v>
      </c>
      <c r="M14">
        <v>60</v>
      </c>
    </row>
    <row r="15" spans="1:13" x14ac:dyDescent="0.25">
      <c r="A15" s="5">
        <v>45534</v>
      </c>
      <c r="B15" t="s">
        <v>52</v>
      </c>
      <c r="C15" t="s">
        <v>26</v>
      </c>
      <c r="D15">
        <v>12</v>
      </c>
      <c r="E15">
        <v>20</v>
      </c>
      <c r="F15" t="s">
        <v>16</v>
      </c>
      <c r="G15" t="s">
        <v>20</v>
      </c>
      <c r="H15">
        <v>240</v>
      </c>
      <c r="I15" t="s">
        <v>41</v>
      </c>
      <c r="J15">
        <v>120</v>
      </c>
      <c r="K15" t="s">
        <v>34</v>
      </c>
      <c r="L15" t="s">
        <v>38</v>
      </c>
      <c r="M15">
        <v>60</v>
      </c>
    </row>
    <row r="16" spans="1:13" x14ac:dyDescent="0.25">
      <c r="A16" s="5">
        <v>45534</v>
      </c>
      <c r="B16" t="s">
        <v>53</v>
      </c>
      <c r="C16" t="s">
        <v>26</v>
      </c>
      <c r="D16">
        <v>4</v>
      </c>
      <c r="E16">
        <v>25</v>
      </c>
      <c r="F16" t="s">
        <v>14</v>
      </c>
      <c r="G16" t="s">
        <v>20</v>
      </c>
      <c r="H16">
        <v>100</v>
      </c>
      <c r="I16" t="s">
        <v>41</v>
      </c>
      <c r="J16">
        <v>85</v>
      </c>
      <c r="K16" t="s">
        <v>34</v>
      </c>
      <c r="L16" t="s">
        <v>38</v>
      </c>
      <c r="M16">
        <v>60</v>
      </c>
    </row>
    <row r="17" spans="1:13" x14ac:dyDescent="0.25">
      <c r="A17" s="5">
        <v>45534</v>
      </c>
      <c r="B17" t="s">
        <v>54</v>
      </c>
      <c r="C17" t="s">
        <v>26</v>
      </c>
      <c r="D17">
        <v>4</v>
      </c>
      <c r="E17">
        <v>20</v>
      </c>
      <c r="F17" t="s">
        <v>14</v>
      </c>
      <c r="G17" t="s">
        <v>20</v>
      </c>
      <c r="H17">
        <v>80</v>
      </c>
      <c r="I17" t="s">
        <v>41</v>
      </c>
      <c r="J17">
        <v>112</v>
      </c>
      <c r="K17" t="s">
        <v>34</v>
      </c>
      <c r="L17" t="s">
        <v>38</v>
      </c>
      <c r="M17">
        <v>60</v>
      </c>
    </row>
    <row r="18" spans="1:13" x14ac:dyDescent="0.25">
      <c r="A18" s="5">
        <v>45534</v>
      </c>
      <c r="B18" t="s">
        <v>54</v>
      </c>
      <c r="C18" t="s">
        <v>26</v>
      </c>
      <c r="D18">
        <v>5</v>
      </c>
      <c r="E18">
        <v>15</v>
      </c>
      <c r="F18" t="s">
        <v>10</v>
      </c>
      <c r="G18" t="s">
        <v>21</v>
      </c>
      <c r="H18">
        <v>75</v>
      </c>
      <c r="I18" t="s">
        <v>41</v>
      </c>
      <c r="J18">
        <v>112</v>
      </c>
      <c r="K18" t="s">
        <v>34</v>
      </c>
      <c r="L18" t="s">
        <v>38</v>
      </c>
      <c r="M18">
        <v>60</v>
      </c>
    </row>
    <row r="19" spans="1:13" x14ac:dyDescent="0.25">
      <c r="A19" s="5">
        <v>45534</v>
      </c>
      <c r="B19" t="s">
        <v>54</v>
      </c>
      <c r="C19" t="s">
        <v>26</v>
      </c>
      <c r="D19">
        <v>9</v>
      </c>
      <c r="E19">
        <v>17</v>
      </c>
      <c r="F19" t="s">
        <v>15</v>
      </c>
      <c r="G19" t="s">
        <v>20</v>
      </c>
      <c r="H19">
        <v>153</v>
      </c>
      <c r="I19" t="s">
        <v>41</v>
      </c>
      <c r="J19">
        <v>112</v>
      </c>
      <c r="K19" t="s">
        <v>34</v>
      </c>
      <c r="L19" t="s">
        <v>38</v>
      </c>
      <c r="M19">
        <v>60</v>
      </c>
    </row>
    <row r="20" spans="1:13" x14ac:dyDescent="0.25">
      <c r="A20" s="5">
        <v>45534</v>
      </c>
      <c r="B20" t="s">
        <v>55</v>
      </c>
      <c r="C20" t="s">
        <v>26</v>
      </c>
      <c r="D20">
        <v>7</v>
      </c>
      <c r="E20">
        <v>15</v>
      </c>
      <c r="F20" t="s">
        <v>12</v>
      </c>
      <c r="G20" t="s">
        <v>20</v>
      </c>
      <c r="H20">
        <v>105</v>
      </c>
      <c r="I20" t="s">
        <v>42</v>
      </c>
      <c r="J20">
        <v>75</v>
      </c>
      <c r="K20" t="s">
        <v>34</v>
      </c>
      <c r="L20" t="s">
        <v>38</v>
      </c>
      <c r="M20">
        <v>60</v>
      </c>
    </row>
    <row r="21" spans="1:13" x14ac:dyDescent="0.25">
      <c r="A21" s="5">
        <v>45534</v>
      </c>
      <c r="B21" t="s">
        <v>56</v>
      </c>
      <c r="C21" t="s">
        <v>26</v>
      </c>
      <c r="D21">
        <v>7</v>
      </c>
      <c r="E21">
        <v>25</v>
      </c>
      <c r="F21" t="s">
        <v>12</v>
      </c>
      <c r="G21" t="s">
        <v>20</v>
      </c>
      <c r="H21">
        <v>175</v>
      </c>
      <c r="I21" t="s">
        <v>42</v>
      </c>
      <c r="J21">
        <v>85</v>
      </c>
      <c r="K21" t="s">
        <v>34</v>
      </c>
      <c r="L21" t="s">
        <v>38</v>
      </c>
      <c r="M21">
        <v>60</v>
      </c>
    </row>
    <row r="22" spans="1:13" x14ac:dyDescent="0.25">
      <c r="A22" s="5">
        <v>45534</v>
      </c>
      <c r="B22" t="s">
        <v>57</v>
      </c>
      <c r="C22" t="s">
        <v>26</v>
      </c>
      <c r="D22">
        <v>4</v>
      </c>
      <c r="E22">
        <v>43</v>
      </c>
      <c r="F22" t="s">
        <v>14</v>
      </c>
      <c r="G22" t="s">
        <v>20</v>
      </c>
      <c r="H22">
        <v>172</v>
      </c>
      <c r="I22" t="s">
        <v>42</v>
      </c>
      <c r="J22">
        <v>133</v>
      </c>
      <c r="K22" t="s">
        <v>34</v>
      </c>
      <c r="L22" t="s">
        <v>38</v>
      </c>
      <c r="M22">
        <v>60</v>
      </c>
    </row>
    <row r="23" spans="1:13" x14ac:dyDescent="0.25">
      <c r="A23" s="5">
        <v>45534</v>
      </c>
      <c r="B23" t="s">
        <v>57</v>
      </c>
      <c r="C23" t="s">
        <v>26</v>
      </c>
      <c r="D23">
        <v>7</v>
      </c>
      <c r="E23">
        <v>30</v>
      </c>
      <c r="F23" t="s">
        <v>12</v>
      </c>
      <c r="G23" t="s">
        <v>20</v>
      </c>
      <c r="H23">
        <v>210</v>
      </c>
      <c r="I23" t="s">
        <v>42</v>
      </c>
      <c r="J23">
        <v>133</v>
      </c>
      <c r="K23" t="s">
        <v>34</v>
      </c>
      <c r="L23" t="s">
        <v>38</v>
      </c>
      <c r="M23">
        <v>60</v>
      </c>
    </row>
    <row r="24" spans="1:13" x14ac:dyDescent="0.25">
      <c r="A24" s="5">
        <v>45534</v>
      </c>
      <c r="B24" t="s">
        <v>58</v>
      </c>
      <c r="C24" t="s">
        <v>26</v>
      </c>
      <c r="D24">
        <v>5</v>
      </c>
      <c r="E24">
        <v>20</v>
      </c>
      <c r="F24" t="s">
        <v>10</v>
      </c>
      <c r="G24" t="s">
        <v>21</v>
      </c>
      <c r="H24">
        <v>100</v>
      </c>
      <c r="I24" t="s">
        <v>42</v>
      </c>
      <c r="J24">
        <v>100</v>
      </c>
      <c r="K24" t="s">
        <v>34</v>
      </c>
      <c r="L24" t="s">
        <v>38</v>
      </c>
      <c r="M24">
        <v>60</v>
      </c>
    </row>
    <row r="25" spans="1:13" x14ac:dyDescent="0.25">
      <c r="A25" s="5">
        <v>45534</v>
      </c>
      <c r="B25" t="s">
        <v>58</v>
      </c>
      <c r="C25" t="s">
        <v>26</v>
      </c>
      <c r="D25">
        <v>6</v>
      </c>
      <c r="E25">
        <v>20</v>
      </c>
      <c r="F25" t="s">
        <v>9</v>
      </c>
      <c r="G25" t="s">
        <v>21</v>
      </c>
      <c r="H25">
        <v>120</v>
      </c>
      <c r="I25" t="s">
        <v>42</v>
      </c>
      <c r="J25">
        <v>100</v>
      </c>
      <c r="K25" t="s">
        <v>34</v>
      </c>
      <c r="L25" t="s">
        <v>38</v>
      </c>
      <c r="M25">
        <v>60</v>
      </c>
    </row>
    <row r="26" spans="1:13" x14ac:dyDescent="0.25">
      <c r="A26" s="5">
        <v>45534</v>
      </c>
      <c r="B26" t="s">
        <v>59</v>
      </c>
      <c r="C26" t="s">
        <v>26</v>
      </c>
      <c r="D26">
        <v>11</v>
      </c>
      <c r="E26">
        <v>10</v>
      </c>
      <c r="F26" t="s">
        <v>11</v>
      </c>
      <c r="G26" t="s">
        <v>21</v>
      </c>
      <c r="H26">
        <v>110</v>
      </c>
      <c r="I26" t="s">
        <v>40</v>
      </c>
      <c r="J26">
        <v>80</v>
      </c>
      <c r="K26" t="s">
        <v>34</v>
      </c>
      <c r="L26" t="s">
        <v>38</v>
      </c>
      <c r="M26">
        <v>60</v>
      </c>
    </row>
    <row r="27" spans="1:13" x14ac:dyDescent="0.25">
      <c r="A27" s="5">
        <v>45534</v>
      </c>
      <c r="B27" t="s">
        <v>59</v>
      </c>
      <c r="C27" t="s">
        <v>26</v>
      </c>
      <c r="D27">
        <v>12</v>
      </c>
      <c r="E27">
        <v>10</v>
      </c>
      <c r="F27" t="s">
        <v>16</v>
      </c>
      <c r="G27" t="s">
        <v>20</v>
      </c>
      <c r="H27">
        <v>120</v>
      </c>
      <c r="I27" t="s">
        <v>40</v>
      </c>
      <c r="J27">
        <v>80</v>
      </c>
      <c r="K27" t="s">
        <v>34</v>
      </c>
      <c r="L27" t="s">
        <v>38</v>
      </c>
      <c r="M27">
        <v>60</v>
      </c>
    </row>
    <row r="28" spans="1:13" x14ac:dyDescent="0.25">
      <c r="A28" s="5">
        <v>45534</v>
      </c>
      <c r="B28" t="s">
        <v>60</v>
      </c>
      <c r="C28" t="s">
        <v>26</v>
      </c>
      <c r="D28">
        <v>8</v>
      </c>
      <c r="E28">
        <v>44</v>
      </c>
      <c r="F28" t="s">
        <v>13</v>
      </c>
      <c r="G28" t="s">
        <v>21</v>
      </c>
      <c r="H28">
        <v>352</v>
      </c>
      <c r="I28" t="s">
        <v>40</v>
      </c>
      <c r="J28">
        <v>104</v>
      </c>
      <c r="K28" t="s">
        <v>34</v>
      </c>
      <c r="L28" t="s">
        <v>38</v>
      </c>
      <c r="M28">
        <v>60</v>
      </c>
    </row>
    <row r="29" spans="1:13" x14ac:dyDescent="0.25">
      <c r="A29" s="5">
        <v>45534</v>
      </c>
      <c r="B29" t="s">
        <v>61</v>
      </c>
      <c r="C29" t="s">
        <v>26</v>
      </c>
      <c r="D29">
        <v>6</v>
      </c>
      <c r="E29">
        <v>23</v>
      </c>
      <c r="F29" t="s">
        <v>9</v>
      </c>
      <c r="G29" t="s">
        <v>21</v>
      </c>
      <c r="H29">
        <v>138</v>
      </c>
      <c r="I29" t="s">
        <v>40</v>
      </c>
      <c r="J29">
        <v>83</v>
      </c>
      <c r="K29" t="s">
        <v>34</v>
      </c>
      <c r="L29" t="s">
        <v>38</v>
      </c>
      <c r="M29">
        <v>60</v>
      </c>
    </row>
    <row r="30" spans="1:13" x14ac:dyDescent="0.25">
      <c r="A30" s="5">
        <v>45534</v>
      </c>
      <c r="B30" t="s">
        <v>62</v>
      </c>
      <c r="C30" t="s">
        <v>26</v>
      </c>
      <c r="D30">
        <v>5</v>
      </c>
      <c r="E30">
        <v>22</v>
      </c>
      <c r="F30" t="s">
        <v>10</v>
      </c>
      <c r="G30" t="s">
        <v>21</v>
      </c>
      <c r="H30">
        <v>110</v>
      </c>
      <c r="I30" t="s">
        <v>40</v>
      </c>
      <c r="J30">
        <v>112</v>
      </c>
      <c r="K30" t="s">
        <v>34</v>
      </c>
      <c r="L30" t="s">
        <v>38</v>
      </c>
      <c r="M30">
        <v>60</v>
      </c>
    </row>
    <row r="31" spans="1:13" x14ac:dyDescent="0.25">
      <c r="A31" s="5">
        <v>45534</v>
      </c>
      <c r="B31" t="s">
        <v>62</v>
      </c>
      <c r="C31" t="s">
        <v>26</v>
      </c>
      <c r="D31">
        <v>7</v>
      </c>
      <c r="E31">
        <v>30</v>
      </c>
      <c r="F31" t="s">
        <v>12</v>
      </c>
      <c r="G31" t="s">
        <v>20</v>
      </c>
      <c r="H31">
        <v>210</v>
      </c>
      <c r="I31" t="s">
        <v>40</v>
      </c>
      <c r="J31">
        <v>112</v>
      </c>
      <c r="K31" t="s">
        <v>34</v>
      </c>
      <c r="L31" t="s">
        <v>38</v>
      </c>
      <c r="M31">
        <v>60</v>
      </c>
    </row>
    <row r="32" spans="1:13" x14ac:dyDescent="0.25">
      <c r="A32" s="5">
        <v>45534</v>
      </c>
      <c r="B32" t="s">
        <v>63</v>
      </c>
      <c r="C32" t="s">
        <v>26</v>
      </c>
      <c r="D32">
        <v>12</v>
      </c>
      <c r="E32">
        <v>15</v>
      </c>
      <c r="F32" t="s">
        <v>16</v>
      </c>
      <c r="G32" t="s">
        <v>20</v>
      </c>
      <c r="H32">
        <v>180</v>
      </c>
      <c r="I32" t="s">
        <v>40</v>
      </c>
      <c r="J32">
        <v>75</v>
      </c>
      <c r="K32" t="s">
        <v>34</v>
      </c>
      <c r="L32" t="s">
        <v>38</v>
      </c>
      <c r="M32">
        <v>60</v>
      </c>
    </row>
    <row r="33" spans="1:13" x14ac:dyDescent="0.25">
      <c r="A33" s="5">
        <v>45535</v>
      </c>
      <c r="B33" t="s">
        <v>64</v>
      </c>
      <c r="C33" t="s">
        <v>26</v>
      </c>
      <c r="D33">
        <v>2</v>
      </c>
      <c r="E33">
        <v>20</v>
      </c>
      <c r="F33" t="s">
        <v>8</v>
      </c>
      <c r="G33" t="s">
        <v>21</v>
      </c>
      <c r="H33">
        <v>40</v>
      </c>
      <c r="I33" t="s">
        <v>41</v>
      </c>
      <c r="J33">
        <v>80</v>
      </c>
      <c r="K33" t="s">
        <v>34</v>
      </c>
      <c r="L33" t="s">
        <v>38</v>
      </c>
      <c r="M33">
        <v>60</v>
      </c>
    </row>
    <row r="34" spans="1:13" x14ac:dyDescent="0.25">
      <c r="A34" s="5">
        <v>45535</v>
      </c>
      <c r="B34" t="s">
        <v>65</v>
      </c>
      <c r="C34" t="s">
        <v>26</v>
      </c>
      <c r="D34">
        <v>4</v>
      </c>
      <c r="E34">
        <v>20</v>
      </c>
      <c r="F34" t="s">
        <v>14</v>
      </c>
      <c r="G34" t="s">
        <v>20</v>
      </c>
      <c r="H34">
        <v>80</v>
      </c>
      <c r="I34" t="s">
        <v>41</v>
      </c>
      <c r="J34">
        <v>90</v>
      </c>
      <c r="K34" t="s">
        <v>34</v>
      </c>
      <c r="L34" t="s">
        <v>38</v>
      </c>
      <c r="M34">
        <v>60</v>
      </c>
    </row>
    <row r="35" spans="1:13" x14ac:dyDescent="0.25">
      <c r="A35" s="5">
        <v>45535</v>
      </c>
      <c r="B35" t="s">
        <v>65</v>
      </c>
      <c r="C35" t="s">
        <v>26</v>
      </c>
      <c r="D35">
        <v>10</v>
      </c>
      <c r="E35">
        <v>10</v>
      </c>
      <c r="F35" t="s">
        <v>18</v>
      </c>
      <c r="G35" t="s">
        <v>21</v>
      </c>
      <c r="H35">
        <v>100</v>
      </c>
      <c r="I35" t="s">
        <v>41</v>
      </c>
      <c r="J35">
        <v>90</v>
      </c>
      <c r="K35" t="s">
        <v>34</v>
      </c>
      <c r="L35" t="s">
        <v>38</v>
      </c>
      <c r="M35">
        <v>60</v>
      </c>
    </row>
    <row r="36" spans="1:13" x14ac:dyDescent="0.25">
      <c r="A36" s="5">
        <v>45535</v>
      </c>
      <c r="B36" t="s">
        <v>67</v>
      </c>
      <c r="C36" t="s">
        <v>27</v>
      </c>
      <c r="D36">
        <v>7</v>
      </c>
      <c r="E36">
        <v>20</v>
      </c>
      <c r="F36" t="s">
        <v>12</v>
      </c>
      <c r="G36" t="s">
        <v>20</v>
      </c>
      <c r="H36">
        <v>140</v>
      </c>
      <c r="I36" t="s">
        <v>41</v>
      </c>
      <c r="J36">
        <v>80</v>
      </c>
      <c r="K36" t="s">
        <v>35</v>
      </c>
      <c r="L36" t="s">
        <v>38</v>
      </c>
      <c r="M36">
        <v>60</v>
      </c>
    </row>
    <row r="37" spans="1:13" x14ac:dyDescent="0.25">
      <c r="A37" s="5">
        <v>45535</v>
      </c>
      <c r="B37" t="s">
        <v>68</v>
      </c>
      <c r="C37" t="s">
        <v>27</v>
      </c>
      <c r="D37">
        <v>7</v>
      </c>
      <c r="E37">
        <v>30</v>
      </c>
      <c r="F37" t="s">
        <v>12</v>
      </c>
      <c r="G37" t="s">
        <v>20</v>
      </c>
      <c r="H37">
        <v>210</v>
      </c>
      <c r="I37" t="s">
        <v>43</v>
      </c>
      <c r="J37">
        <v>110</v>
      </c>
      <c r="K37" t="s">
        <v>35</v>
      </c>
      <c r="L37" t="s">
        <v>38</v>
      </c>
      <c r="M37">
        <v>60</v>
      </c>
    </row>
    <row r="38" spans="1:13" x14ac:dyDescent="0.25">
      <c r="A38" s="5">
        <v>45535</v>
      </c>
      <c r="B38" t="s">
        <v>68</v>
      </c>
      <c r="C38" t="s">
        <v>27</v>
      </c>
      <c r="D38">
        <v>8</v>
      </c>
      <c r="E38">
        <v>20</v>
      </c>
      <c r="F38" t="s">
        <v>13</v>
      </c>
      <c r="G38" t="s">
        <v>21</v>
      </c>
      <c r="H38">
        <v>160</v>
      </c>
      <c r="I38" t="s">
        <v>43</v>
      </c>
      <c r="J38">
        <v>110</v>
      </c>
      <c r="K38" t="s">
        <v>35</v>
      </c>
      <c r="L38" t="s">
        <v>38</v>
      </c>
      <c r="M38">
        <v>60</v>
      </c>
    </row>
    <row r="39" spans="1:13" x14ac:dyDescent="0.25">
      <c r="A39" s="5">
        <v>45535</v>
      </c>
      <c r="B39" t="s">
        <v>69</v>
      </c>
      <c r="C39" t="s">
        <v>27</v>
      </c>
      <c r="D39">
        <v>4</v>
      </c>
      <c r="E39">
        <v>30</v>
      </c>
      <c r="F39" t="s">
        <v>14</v>
      </c>
      <c r="G39" t="s">
        <v>20</v>
      </c>
      <c r="H39">
        <v>120</v>
      </c>
      <c r="I39" t="s">
        <v>43</v>
      </c>
      <c r="J39">
        <v>105</v>
      </c>
      <c r="K39" t="s">
        <v>35</v>
      </c>
      <c r="L39" t="s">
        <v>38</v>
      </c>
      <c r="M39">
        <v>60</v>
      </c>
    </row>
    <row r="40" spans="1:13" x14ac:dyDescent="0.25">
      <c r="A40" s="5">
        <v>45535</v>
      </c>
      <c r="B40" t="s">
        <v>69</v>
      </c>
      <c r="C40" t="s">
        <v>27</v>
      </c>
      <c r="D40">
        <v>12</v>
      </c>
      <c r="E40">
        <v>15</v>
      </c>
      <c r="F40" t="s">
        <v>16</v>
      </c>
      <c r="G40" t="s">
        <v>20</v>
      </c>
      <c r="H40">
        <v>180</v>
      </c>
      <c r="I40" t="s">
        <v>43</v>
      </c>
      <c r="J40">
        <v>105</v>
      </c>
      <c r="K40" t="s">
        <v>35</v>
      </c>
      <c r="L40" t="s">
        <v>38</v>
      </c>
      <c r="M40">
        <v>60</v>
      </c>
    </row>
    <row r="41" spans="1:13" x14ac:dyDescent="0.25">
      <c r="A41" s="5">
        <v>45537</v>
      </c>
      <c r="B41" t="s">
        <v>71</v>
      </c>
      <c r="C41" t="s">
        <v>28</v>
      </c>
      <c r="D41">
        <v>8</v>
      </c>
      <c r="E41">
        <v>30</v>
      </c>
      <c r="F41" t="s">
        <v>13</v>
      </c>
      <c r="G41" t="s">
        <v>21</v>
      </c>
      <c r="H41">
        <v>240</v>
      </c>
      <c r="I41" t="s">
        <v>41</v>
      </c>
      <c r="J41">
        <v>105</v>
      </c>
      <c r="K41" t="s">
        <v>36</v>
      </c>
      <c r="L41" t="s">
        <v>38</v>
      </c>
      <c r="M41">
        <v>60</v>
      </c>
    </row>
    <row r="42" spans="1:13" x14ac:dyDescent="0.25">
      <c r="A42" s="5">
        <v>45537</v>
      </c>
      <c r="B42" t="s">
        <v>71</v>
      </c>
      <c r="C42" t="s">
        <v>28</v>
      </c>
      <c r="D42">
        <v>10</v>
      </c>
      <c r="E42">
        <v>15</v>
      </c>
      <c r="F42" t="s">
        <v>18</v>
      </c>
      <c r="G42" t="s">
        <v>21</v>
      </c>
      <c r="H42">
        <v>150</v>
      </c>
      <c r="I42" t="s">
        <v>41</v>
      </c>
      <c r="J42">
        <v>105</v>
      </c>
      <c r="K42" t="s">
        <v>36</v>
      </c>
      <c r="L42" t="s">
        <v>38</v>
      </c>
      <c r="M42">
        <v>60</v>
      </c>
    </row>
    <row r="43" spans="1:13" x14ac:dyDescent="0.25">
      <c r="A43" s="5">
        <v>45537</v>
      </c>
      <c r="B43" t="s">
        <v>72</v>
      </c>
      <c r="C43" t="s">
        <v>28</v>
      </c>
      <c r="D43">
        <v>3</v>
      </c>
      <c r="E43">
        <v>20</v>
      </c>
      <c r="F43" t="s">
        <v>19</v>
      </c>
      <c r="G43" t="s">
        <v>20</v>
      </c>
      <c r="H43">
        <v>60</v>
      </c>
      <c r="I43" t="s">
        <v>41</v>
      </c>
      <c r="J43">
        <v>80</v>
      </c>
      <c r="K43" t="s">
        <v>36</v>
      </c>
      <c r="L43" t="s">
        <v>38</v>
      </c>
      <c r="M43">
        <v>60</v>
      </c>
    </row>
    <row r="44" spans="1:13" x14ac:dyDescent="0.25">
      <c r="A44" s="5">
        <v>45537</v>
      </c>
      <c r="B44" t="s">
        <v>73</v>
      </c>
      <c r="C44" t="s">
        <v>28</v>
      </c>
      <c r="D44">
        <v>4</v>
      </c>
      <c r="E44">
        <v>20</v>
      </c>
      <c r="F44" t="s">
        <v>14</v>
      </c>
      <c r="G44" t="s">
        <v>20</v>
      </c>
      <c r="H44">
        <v>80</v>
      </c>
      <c r="I44" t="s">
        <v>41</v>
      </c>
      <c r="J44">
        <v>95</v>
      </c>
      <c r="K44" t="s">
        <v>36</v>
      </c>
      <c r="L44" t="s">
        <v>38</v>
      </c>
      <c r="M44">
        <v>60</v>
      </c>
    </row>
    <row r="45" spans="1:13" x14ac:dyDescent="0.25">
      <c r="A45" s="5">
        <v>45537</v>
      </c>
      <c r="B45" t="s">
        <v>73</v>
      </c>
      <c r="C45" t="s">
        <v>28</v>
      </c>
      <c r="D45">
        <v>6</v>
      </c>
      <c r="E45">
        <v>15</v>
      </c>
      <c r="F45" t="s">
        <v>9</v>
      </c>
      <c r="G45" t="s">
        <v>21</v>
      </c>
      <c r="H45">
        <v>90</v>
      </c>
      <c r="I45" t="s">
        <v>41</v>
      </c>
      <c r="J45">
        <v>95</v>
      </c>
      <c r="K45" t="s">
        <v>36</v>
      </c>
      <c r="L45" t="s">
        <v>38</v>
      </c>
      <c r="M45">
        <v>60</v>
      </c>
    </row>
    <row r="46" spans="1:13" x14ac:dyDescent="0.25">
      <c r="A46" s="5">
        <v>45537</v>
      </c>
      <c r="B46" t="s">
        <v>74</v>
      </c>
      <c r="C46" t="s">
        <v>28</v>
      </c>
      <c r="D46">
        <v>6</v>
      </c>
      <c r="E46">
        <v>50</v>
      </c>
      <c r="F46" t="s">
        <v>9</v>
      </c>
      <c r="G46" t="s">
        <v>21</v>
      </c>
      <c r="H46">
        <v>300</v>
      </c>
      <c r="I46" t="s">
        <v>41</v>
      </c>
      <c r="J46">
        <v>123</v>
      </c>
      <c r="K46" t="s">
        <v>36</v>
      </c>
      <c r="L46" t="s">
        <v>38</v>
      </c>
      <c r="M46">
        <v>60</v>
      </c>
    </row>
    <row r="47" spans="1:13" x14ac:dyDescent="0.25">
      <c r="A47" s="5">
        <v>45537</v>
      </c>
      <c r="B47" t="s">
        <v>74</v>
      </c>
      <c r="C47" t="s">
        <v>28</v>
      </c>
      <c r="D47">
        <v>11</v>
      </c>
      <c r="E47">
        <v>13</v>
      </c>
      <c r="F47" t="s">
        <v>11</v>
      </c>
      <c r="G47" t="s">
        <v>21</v>
      </c>
      <c r="H47">
        <v>143</v>
      </c>
      <c r="I47" t="s">
        <v>41</v>
      </c>
      <c r="J47">
        <v>123</v>
      </c>
      <c r="K47" t="s">
        <v>36</v>
      </c>
      <c r="L47" t="s">
        <v>38</v>
      </c>
      <c r="M47">
        <v>60</v>
      </c>
    </row>
    <row r="48" spans="1:13" x14ac:dyDescent="0.25">
      <c r="A48" s="5">
        <v>45537</v>
      </c>
      <c r="B48" t="s">
        <v>75</v>
      </c>
      <c r="C48" t="s">
        <v>28</v>
      </c>
      <c r="D48">
        <v>12</v>
      </c>
      <c r="E48">
        <v>7</v>
      </c>
      <c r="F48" t="s">
        <v>16</v>
      </c>
      <c r="G48" t="s">
        <v>20</v>
      </c>
      <c r="H48">
        <v>84</v>
      </c>
      <c r="I48" t="s">
        <v>42</v>
      </c>
      <c r="J48">
        <v>67</v>
      </c>
      <c r="K48" t="s">
        <v>36</v>
      </c>
      <c r="L48" t="s">
        <v>38</v>
      </c>
      <c r="M48">
        <v>60</v>
      </c>
    </row>
    <row r="49" spans="1:13" x14ac:dyDescent="0.25">
      <c r="A49" s="5">
        <v>45537</v>
      </c>
      <c r="B49" t="s">
        <v>76</v>
      </c>
      <c r="C49" t="s">
        <v>28</v>
      </c>
      <c r="D49">
        <v>6</v>
      </c>
      <c r="E49">
        <v>30</v>
      </c>
      <c r="F49" t="s">
        <v>9</v>
      </c>
      <c r="G49" t="s">
        <v>21</v>
      </c>
      <c r="H49">
        <v>180</v>
      </c>
      <c r="I49" t="s">
        <v>42</v>
      </c>
      <c r="J49">
        <v>90</v>
      </c>
      <c r="K49" t="s">
        <v>36</v>
      </c>
      <c r="L49" t="s">
        <v>38</v>
      </c>
      <c r="M49">
        <v>60</v>
      </c>
    </row>
    <row r="50" spans="1:13" x14ac:dyDescent="0.25">
      <c r="A50" s="5">
        <v>45537</v>
      </c>
      <c r="B50" t="s">
        <v>77</v>
      </c>
      <c r="C50" t="s">
        <v>28</v>
      </c>
      <c r="D50">
        <v>6</v>
      </c>
      <c r="E50">
        <v>40</v>
      </c>
      <c r="F50" t="s">
        <v>9</v>
      </c>
      <c r="G50" t="s">
        <v>21</v>
      </c>
      <c r="H50">
        <v>240</v>
      </c>
      <c r="I50" t="s">
        <v>42</v>
      </c>
      <c r="J50">
        <v>118</v>
      </c>
      <c r="K50" t="s">
        <v>36</v>
      </c>
      <c r="L50" t="s">
        <v>38</v>
      </c>
      <c r="M50">
        <v>60</v>
      </c>
    </row>
    <row r="51" spans="1:13" x14ac:dyDescent="0.25">
      <c r="A51" s="5">
        <v>45537</v>
      </c>
      <c r="B51" t="s">
        <v>77</v>
      </c>
      <c r="C51" t="s">
        <v>28</v>
      </c>
      <c r="D51">
        <v>7</v>
      </c>
      <c r="E51">
        <v>18</v>
      </c>
      <c r="F51" t="s">
        <v>12</v>
      </c>
      <c r="G51" t="s">
        <v>20</v>
      </c>
      <c r="H51">
        <v>126</v>
      </c>
      <c r="I51" t="s">
        <v>42</v>
      </c>
      <c r="J51">
        <v>118</v>
      </c>
      <c r="K51" t="s">
        <v>36</v>
      </c>
      <c r="L51" t="s">
        <v>38</v>
      </c>
      <c r="M51">
        <v>60</v>
      </c>
    </row>
    <row r="52" spans="1:13" x14ac:dyDescent="0.25">
      <c r="A52" s="5">
        <v>45537</v>
      </c>
      <c r="B52" t="s">
        <v>78</v>
      </c>
      <c r="C52" t="s">
        <v>29</v>
      </c>
      <c r="D52">
        <v>6</v>
      </c>
      <c r="E52">
        <v>30</v>
      </c>
      <c r="F52" t="s">
        <v>9</v>
      </c>
      <c r="G52" t="s">
        <v>21</v>
      </c>
      <c r="H52">
        <v>180</v>
      </c>
      <c r="I52" t="s">
        <v>42</v>
      </c>
      <c r="J52">
        <v>152</v>
      </c>
      <c r="K52" t="s">
        <v>34</v>
      </c>
      <c r="L52" t="s">
        <v>37</v>
      </c>
      <c r="M52">
        <v>98</v>
      </c>
    </row>
    <row r="53" spans="1:13" x14ac:dyDescent="0.25">
      <c r="A53" s="5">
        <v>45537</v>
      </c>
      <c r="B53" t="s">
        <v>78</v>
      </c>
      <c r="C53" t="s">
        <v>29</v>
      </c>
      <c r="D53">
        <v>8</v>
      </c>
      <c r="E53">
        <v>24</v>
      </c>
      <c r="F53" t="s">
        <v>13</v>
      </c>
      <c r="G53" t="s">
        <v>21</v>
      </c>
      <c r="H53">
        <v>192</v>
      </c>
      <c r="I53" t="s">
        <v>42</v>
      </c>
      <c r="J53">
        <v>152</v>
      </c>
      <c r="K53" t="s">
        <v>34</v>
      </c>
      <c r="L53" t="s">
        <v>37</v>
      </c>
      <c r="M53">
        <v>98</v>
      </c>
    </row>
    <row r="54" spans="1:13" x14ac:dyDescent="0.25">
      <c r="A54" s="5">
        <v>45537</v>
      </c>
      <c r="B54" t="s">
        <v>79</v>
      </c>
      <c r="C54" t="s">
        <v>29</v>
      </c>
      <c r="D54">
        <v>3</v>
      </c>
      <c r="E54">
        <v>22</v>
      </c>
      <c r="F54" t="s">
        <v>19</v>
      </c>
      <c r="G54" t="s">
        <v>20</v>
      </c>
      <c r="H54">
        <v>66</v>
      </c>
      <c r="I54" t="s">
        <v>40</v>
      </c>
      <c r="J54">
        <v>120</v>
      </c>
      <c r="K54" t="s">
        <v>34</v>
      </c>
      <c r="L54" t="s">
        <v>37</v>
      </c>
      <c r="M54">
        <v>98</v>
      </c>
    </row>
    <row r="55" spans="1:13" x14ac:dyDescent="0.25">
      <c r="A55" s="5">
        <v>45537</v>
      </c>
      <c r="B55" t="s">
        <v>80</v>
      </c>
      <c r="C55" t="s">
        <v>29</v>
      </c>
      <c r="D55">
        <v>6</v>
      </c>
      <c r="E55">
        <v>30</v>
      </c>
      <c r="F55" t="s">
        <v>9</v>
      </c>
      <c r="G55" t="s">
        <v>21</v>
      </c>
      <c r="H55">
        <v>180</v>
      </c>
      <c r="I55" t="s">
        <v>40</v>
      </c>
      <c r="J55">
        <v>160</v>
      </c>
      <c r="K55" t="s">
        <v>34</v>
      </c>
      <c r="L55" t="s">
        <v>37</v>
      </c>
      <c r="M55">
        <v>98</v>
      </c>
    </row>
    <row r="56" spans="1:13" x14ac:dyDescent="0.25">
      <c r="A56" s="5">
        <v>45537</v>
      </c>
      <c r="B56" t="s">
        <v>80</v>
      </c>
      <c r="C56" t="s">
        <v>29</v>
      </c>
      <c r="D56">
        <v>7</v>
      </c>
      <c r="E56">
        <v>25</v>
      </c>
      <c r="F56" t="s">
        <v>12</v>
      </c>
      <c r="G56" t="s">
        <v>20</v>
      </c>
      <c r="H56">
        <v>175</v>
      </c>
      <c r="I56" t="s">
        <v>40</v>
      </c>
      <c r="J56">
        <v>160</v>
      </c>
      <c r="K56" t="s">
        <v>34</v>
      </c>
      <c r="L56" t="s">
        <v>37</v>
      </c>
      <c r="M56">
        <v>98</v>
      </c>
    </row>
    <row r="57" spans="1:13" x14ac:dyDescent="0.25">
      <c r="A57" s="5">
        <v>45537</v>
      </c>
      <c r="B57" t="s">
        <v>80</v>
      </c>
      <c r="C57" t="s">
        <v>29</v>
      </c>
      <c r="D57">
        <v>12</v>
      </c>
      <c r="E57">
        <v>7</v>
      </c>
      <c r="F57" t="s">
        <v>16</v>
      </c>
      <c r="G57" t="s">
        <v>20</v>
      </c>
      <c r="H57">
        <v>84</v>
      </c>
      <c r="I57" t="s">
        <v>40</v>
      </c>
      <c r="J57">
        <v>160</v>
      </c>
      <c r="K57" t="s">
        <v>34</v>
      </c>
      <c r="L57" t="s">
        <v>37</v>
      </c>
      <c r="M57">
        <v>98</v>
      </c>
    </row>
    <row r="58" spans="1:13" x14ac:dyDescent="0.25">
      <c r="A58" s="5">
        <v>45537</v>
      </c>
      <c r="B58" t="s">
        <v>81</v>
      </c>
      <c r="C58" t="s">
        <v>29</v>
      </c>
      <c r="D58">
        <v>4</v>
      </c>
      <c r="E58">
        <v>17</v>
      </c>
      <c r="F58" t="s">
        <v>14</v>
      </c>
      <c r="G58" t="s">
        <v>20</v>
      </c>
      <c r="H58">
        <v>68</v>
      </c>
      <c r="I58" t="s">
        <v>40</v>
      </c>
      <c r="J58">
        <v>205</v>
      </c>
      <c r="K58" t="s">
        <v>34</v>
      </c>
      <c r="L58" t="s">
        <v>37</v>
      </c>
      <c r="M58">
        <v>98</v>
      </c>
    </row>
    <row r="59" spans="1:13" x14ac:dyDescent="0.25">
      <c r="A59" s="5">
        <v>45537</v>
      </c>
      <c r="B59" t="s">
        <v>81</v>
      </c>
      <c r="C59" t="s">
        <v>29</v>
      </c>
      <c r="D59">
        <v>6</v>
      </c>
      <c r="E59">
        <v>60</v>
      </c>
      <c r="F59" t="s">
        <v>9</v>
      </c>
      <c r="G59" t="s">
        <v>21</v>
      </c>
      <c r="H59">
        <v>360</v>
      </c>
      <c r="I59" t="s">
        <v>40</v>
      </c>
      <c r="J59">
        <v>205</v>
      </c>
      <c r="K59" t="s">
        <v>34</v>
      </c>
      <c r="L59" t="s">
        <v>37</v>
      </c>
      <c r="M59">
        <v>98</v>
      </c>
    </row>
    <row r="60" spans="1:13" x14ac:dyDescent="0.25">
      <c r="A60" s="5">
        <v>45537</v>
      </c>
      <c r="B60" t="s">
        <v>81</v>
      </c>
      <c r="C60" t="s">
        <v>29</v>
      </c>
      <c r="D60">
        <v>7</v>
      </c>
      <c r="E60">
        <v>30</v>
      </c>
      <c r="F60" t="s">
        <v>12</v>
      </c>
      <c r="G60" t="s">
        <v>20</v>
      </c>
      <c r="H60">
        <v>210</v>
      </c>
      <c r="I60" t="s">
        <v>40</v>
      </c>
      <c r="J60">
        <v>205</v>
      </c>
      <c r="K60" t="s">
        <v>34</v>
      </c>
      <c r="L60" t="s">
        <v>37</v>
      </c>
      <c r="M60">
        <v>98</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CF880-24C1-4324-9C17-243E8211D194}">
  <dimension ref="A1:M115"/>
  <sheetViews>
    <sheetView topLeftCell="A37" workbookViewId="0">
      <selection activeCell="A53" sqref="A53"/>
    </sheetView>
  </sheetViews>
  <sheetFormatPr defaultRowHeight="15" x14ac:dyDescent="0.25"/>
  <cols>
    <col min="1" max="1" width="14.140625" bestFit="1" customWidth="1"/>
    <col min="2" max="2" width="21.5703125" bestFit="1" customWidth="1"/>
    <col min="3" max="3" width="17.28515625" bestFit="1" customWidth="1"/>
  </cols>
  <sheetData>
    <row r="1" spans="1:3" x14ac:dyDescent="0.25">
      <c r="A1" t="s">
        <v>98</v>
      </c>
      <c r="C1">
        <f>SUM(Downtime!G:G)</f>
        <v>0</v>
      </c>
    </row>
    <row r="2" spans="1:3" x14ac:dyDescent="0.25">
      <c r="A2" t="s">
        <v>99</v>
      </c>
      <c r="C2" s="19">
        <f>SUM( Downtime!E:E)/60</f>
        <v>22.6</v>
      </c>
    </row>
    <row r="3" spans="1:3" x14ac:dyDescent="0.25">
      <c r="A3" t="s">
        <v>100</v>
      </c>
      <c r="C3" s="10">
        <f>AVERAGE(Downtime!E:E)</f>
        <v>22.983050847457626</v>
      </c>
    </row>
    <row r="4" spans="1:3" x14ac:dyDescent="0.25">
      <c r="A4" t="s">
        <v>107</v>
      </c>
      <c r="C4">
        <f>B46</f>
        <v>34</v>
      </c>
    </row>
    <row r="5" spans="1:3" x14ac:dyDescent="0.25">
      <c r="A5" t="s">
        <v>101</v>
      </c>
      <c r="C5">
        <f>MAX(Downtime!H:H)</f>
        <v>360</v>
      </c>
    </row>
    <row r="6" spans="1:3" x14ac:dyDescent="0.25">
      <c r="A6" t="s">
        <v>102</v>
      </c>
      <c r="C6" s="20">
        <f>SUM(Downtime!J:J)/60</f>
        <v>109.91666666666667</v>
      </c>
    </row>
    <row r="7" spans="1:3" x14ac:dyDescent="0.25">
      <c r="A7" t="s">
        <v>106</v>
      </c>
      <c r="C7" s="9">
        <f>(SUM(Downtime[Production Time]) - SUM(Downtime[Downtime])) / SUM(Downtime[Production Time])</f>
        <v>0.79438968915845343</v>
      </c>
    </row>
    <row r="8" spans="1:3" x14ac:dyDescent="0.25">
      <c r="A8" t="s">
        <v>108</v>
      </c>
      <c r="C8" s="10">
        <f>SUM(Downtime[Downtime]) / Calc!C4</f>
        <v>39.882352941176471</v>
      </c>
    </row>
    <row r="9" spans="1:3" x14ac:dyDescent="0.25">
      <c r="A9" t="s">
        <v>116</v>
      </c>
      <c r="C9" s="9">
        <f>SUM(Downtime!E:E) / SUM(Downtime!J:J)</f>
        <v>0.20561031084154663</v>
      </c>
    </row>
    <row r="11" spans="1:3" x14ac:dyDescent="0.25">
      <c r="A11" s="7" t="s">
        <v>103</v>
      </c>
      <c r="B11" t="s">
        <v>105</v>
      </c>
    </row>
    <row r="12" spans="1:3" x14ac:dyDescent="0.25">
      <c r="A12" s="8" t="s">
        <v>45</v>
      </c>
      <c r="B12">
        <v>1</v>
      </c>
    </row>
    <row r="13" spans="1:3" x14ac:dyDescent="0.25">
      <c r="A13" s="8" t="s">
        <v>46</v>
      </c>
      <c r="B13">
        <v>1</v>
      </c>
    </row>
    <row r="14" spans="1:3" x14ac:dyDescent="0.25">
      <c r="A14" s="8" t="s">
        <v>47</v>
      </c>
      <c r="B14">
        <v>1</v>
      </c>
    </row>
    <row r="15" spans="1:3" x14ac:dyDescent="0.25">
      <c r="A15" s="8" t="s">
        <v>48</v>
      </c>
      <c r="B15">
        <v>1</v>
      </c>
    </row>
    <row r="16" spans="1:3" x14ac:dyDescent="0.25">
      <c r="A16" s="8" t="s">
        <v>49</v>
      </c>
      <c r="B16">
        <v>1</v>
      </c>
    </row>
    <row r="17" spans="1:2" x14ac:dyDescent="0.25">
      <c r="A17" s="8" t="s">
        <v>51</v>
      </c>
      <c r="B17">
        <v>1</v>
      </c>
    </row>
    <row r="18" spans="1:2" x14ac:dyDescent="0.25">
      <c r="A18" s="8" t="s">
        <v>52</v>
      </c>
      <c r="B18">
        <v>1</v>
      </c>
    </row>
    <row r="19" spans="1:2" x14ac:dyDescent="0.25">
      <c r="A19" s="8" t="s">
        <v>53</v>
      </c>
      <c r="B19">
        <v>1</v>
      </c>
    </row>
    <row r="20" spans="1:2" x14ac:dyDescent="0.25">
      <c r="A20" s="8" t="s">
        <v>54</v>
      </c>
      <c r="B20">
        <v>1</v>
      </c>
    </row>
    <row r="21" spans="1:2" x14ac:dyDescent="0.25">
      <c r="A21" s="8" t="s">
        <v>55</v>
      </c>
      <c r="B21">
        <v>1</v>
      </c>
    </row>
    <row r="22" spans="1:2" x14ac:dyDescent="0.25">
      <c r="A22" s="8" t="s">
        <v>56</v>
      </c>
      <c r="B22">
        <v>1</v>
      </c>
    </row>
    <row r="23" spans="1:2" x14ac:dyDescent="0.25">
      <c r="A23" s="8" t="s">
        <v>57</v>
      </c>
      <c r="B23">
        <v>1</v>
      </c>
    </row>
    <row r="24" spans="1:2" x14ac:dyDescent="0.25">
      <c r="A24" s="8" t="s">
        <v>58</v>
      </c>
      <c r="B24">
        <v>1</v>
      </c>
    </row>
    <row r="25" spans="1:2" x14ac:dyDescent="0.25">
      <c r="A25" s="8" t="s">
        <v>59</v>
      </c>
      <c r="B25">
        <v>1</v>
      </c>
    </row>
    <row r="26" spans="1:2" x14ac:dyDescent="0.25">
      <c r="A26" s="8" t="s">
        <v>60</v>
      </c>
      <c r="B26">
        <v>1</v>
      </c>
    </row>
    <row r="27" spans="1:2" x14ac:dyDescent="0.25">
      <c r="A27" s="8" t="s">
        <v>61</v>
      </c>
      <c r="B27">
        <v>1</v>
      </c>
    </row>
    <row r="28" spans="1:2" x14ac:dyDescent="0.25">
      <c r="A28" s="8" t="s">
        <v>62</v>
      </c>
      <c r="B28">
        <v>1</v>
      </c>
    </row>
    <row r="29" spans="1:2" x14ac:dyDescent="0.25">
      <c r="A29" s="8" t="s">
        <v>63</v>
      </c>
      <c r="B29">
        <v>1</v>
      </c>
    </row>
    <row r="30" spans="1:2" x14ac:dyDescent="0.25">
      <c r="A30" s="8" t="s">
        <v>64</v>
      </c>
      <c r="B30">
        <v>1</v>
      </c>
    </row>
    <row r="31" spans="1:2" x14ac:dyDescent="0.25">
      <c r="A31" s="8" t="s">
        <v>65</v>
      </c>
      <c r="B31">
        <v>1</v>
      </c>
    </row>
    <row r="32" spans="1:2" x14ac:dyDescent="0.25">
      <c r="A32" s="8" t="s">
        <v>67</v>
      </c>
      <c r="B32">
        <v>1</v>
      </c>
    </row>
    <row r="33" spans="1:2" x14ac:dyDescent="0.25">
      <c r="A33" s="8" t="s">
        <v>68</v>
      </c>
      <c r="B33">
        <v>1</v>
      </c>
    </row>
    <row r="34" spans="1:2" x14ac:dyDescent="0.25">
      <c r="A34" s="8" t="s">
        <v>69</v>
      </c>
      <c r="B34">
        <v>1</v>
      </c>
    </row>
    <row r="35" spans="1:2" x14ac:dyDescent="0.25">
      <c r="A35" s="8" t="s">
        <v>71</v>
      </c>
      <c r="B35">
        <v>1</v>
      </c>
    </row>
    <row r="36" spans="1:2" x14ac:dyDescent="0.25">
      <c r="A36" s="8" t="s">
        <v>72</v>
      </c>
      <c r="B36">
        <v>1</v>
      </c>
    </row>
    <row r="37" spans="1:2" x14ac:dyDescent="0.25">
      <c r="A37" s="8" t="s">
        <v>73</v>
      </c>
      <c r="B37">
        <v>1</v>
      </c>
    </row>
    <row r="38" spans="1:2" x14ac:dyDescent="0.25">
      <c r="A38" s="8" t="s">
        <v>74</v>
      </c>
      <c r="B38">
        <v>1</v>
      </c>
    </row>
    <row r="39" spans="1:2" x14ac:dyDescent="0.25">
      <c r="A39" s="8" t="s">
        <v>75</v>
      </c>
      <c r="B39">
        <v>1</v>
      </c>
    </row>
    <row r="40" spans="1:2" x14ac:dyDescent="0.25">
      <c r="A40" s="8" t="s">
        <v>76</v>
      </c>
      <c r="B40">
        <v>1</v>
      </c>
    </row>
    <row r="41" spans="1:2" x14ac:dyDescent="0.25">
      <c r="A41" s="8" t="s">
        <v>77</v>
      </c>
      <c r="B41">
        <v>1</v>
      </c>
    </row>
    <row r="42" spans="1:2" x14ac:dyDescent="0.25">
      <c r="A42" s="8" t="s">
        <v>78</v>
      </c>
      <c r="B42">
        <v>1</v>
      </c>
    </row>
    <row r="43" spans="1:2" x14ac:dyDescent="0.25">
      <c r="A43" s="8" t="s">
        <v>79</v>
      </c>
      <c r="B43">
        <v>1</v>
      </c>
    </row>
    <row r="44" spans="1:2" x14ac:dyDescent="0.25">
      <c r="A44" s="8" t="s">
        <v>80</v>
      </c>
      <c r="B44">
        <v>1</v>
      </c>
    </row>
    <row r="45" spans="1:2" x14ac:dyDescent="0.25">
      <c r="A45" s="8" t="s">
        <v>81</v>
      </c>
      <c r="B45">
        <v>1</v>
      </c>
    </row>
    <row r="46" spans="1:2" x14ac:dyDescent="0.25">
      <c r="A46" s="8" t="s">
        <v>104</v>
      </c>
      <c r="B46">
        <v>34</v>
      </c>
    </row>
    <row r="48" spans="1:2" x14ac:dyDescent="0.25">
      <c r="A48" s="7" t="s">
        <v>103</v>
      </c>
      <c r="B48" t="s">
        <v>109</v>
      </c>
    </row>
    <row r="49" spans="1:2" x14ac:dyDescent="0.25">
      <c r="A49" s="8" t="s">
        <v>9</v>
      </c>
      <c r="B49">
        <v>12</v>
      </c>
    </row>
    <row r="50" spans="1:2" x14ac:dyDescent="0.25">
      <c r="A50" s="8" t="s">
        <v>104</v>
      </c>
      <c r="B50">
        <v>12</v>
      </c>
    </row>
    <row r="52" spans="1:2" x14ac:dyDescent="0.25">
      <c r="A52" s="7" t="s">
        <v>103</v>
      </c>
      <c r="B52" t="s">
        <v>110</v>
      </c>
    </row>
    <row r="53" spans="1:2" x14ac:dyDescent="0.25">
      <c r="A53" s="8" t="s">
        <v>9</v>
      </c>
      <c r="B53">
        <v>1992</v>
      </c>
    </row>
    <row r="54" spans="1:2" x14ac:dyDescent="0.25">
      <c r="A54" s="8" t="s">
        <v>12</v>
      </c>
      <c r="B54">
        <v>1778</v>
      </c>
    </row>
    <row r="55" spans="1:2" x14ac:dyDescent="0.25">
      <c r="A55" s="8" t="s">
        <v>13</v>
      </c>
      <c r="B55">
        <v>1104</v>
      </c>
    </row>
    <row r="56" spans="1:2" x14ac:dyDescent="0.25">
      <c r="A56" s="8" t="s">
        <v>16</v>
      </c>
      <c r="B56">
        <v>888</v>
      </c>
    </row>
    <row r="57" spans="1:2" x14ac:dyDescent="0.25">
      <c r="A57" s="8" t="s">
        <v>14</v>
      </c>
      <c r="B57">
        <v>800</v>
      </c>
    </row>
    <row r="58" spans="1:2" x14ac:dyDescent="0.25">
      <c r="A58" s="8" t="s">
        <v>104</v>
      </c>
      <c r="B58">
        <v>6562</v>
      </c>
    </row>
    <row r="66" spans="1:2" x14ac:dyDescent="0.25">
      <c r="A66" s="7" t="s">
        <v>103</v>
      </c>
      <c r="B66" t="s">
        <v>110</v>
      </c>
    </row>
    <row r="67" spans="1:2" x14ac:dyDescent="0.25">
      <c r="A67" s="8" t="s">
        <v>26</v>
      </c>
      <c r="B67">
        <v>3276</v>
      </c>
    </row>
    <row r="68" spans="1:2" x14ac:dyDescent="0.25">
      <c r="A68" s="8" t="s">
        <v>28</v>
      </c>
      <c r="B68">
        <v>1693</v>
      </c>
    </row>
    <row r="69" spans="1:2" x14ac:dyDescent="0.25">
      <c r="A69" s="8" t="s">
        <v>29</v>
      </c>
      <c r="B69">
        <v>1515</v>
      </c>
    </row>
    <row r="70" spans="1:2" x14ac:dyDescent="0.25">
      <c r="A70" s="8" t="s">
        <v>27</v>
      </c>
      <c r="B70">
        <v>810</v>
      </c>
    </row>
    <row r="71" spans="1:2" x14ac:dyDescent="0.25">
      <c r="A71" s="8" t="s">
        <v>25</v>
      </c>
      <c r="B71">
        <v>780</v>
      </c>
    </row>
    <row r="72" spans="1:2" x14ac:dyDescent="0.25">
      <c r="A72" s="8" t="s">
        <v>24</v>
      </c>
      <c r="B72">
        <v>225</v>
      </c>
    </row>
    <row r="73" spans="1:2" x14ac:dyDescent="0.25">
      <c r="A73" s="8" t="s">
        <v>104</v>
      </c>
      <c r="B73">
        <v>8299</v>
      </c>
    </row>
    <row r="75" spans="1:2" x14ac:dyDescent="0.25">
      <c r="A75" s="7" t="s">
        <v>103</v>
      </c>
      <c r="B75" t="s">
        <v>110</v>
      </c>
    </row>
    <row r="76" spans="1:2" x14ac:dyDescent="0.25">
      <c r="A76" s="8" t="s">
        <v>40</v>
      </c>
      <c r="B76">
        <v>2653</v>
      </c>
    </row>
    <row r="77" spans="1:2" x14ac:dyDescent="0.25">
      <c r="A77" s="8" t="s">
        <v>41</v>
      </c>
      <c r="B77">
        <v>2377</v>
      </c>
    </row>
    <row r="78" spans="1:2" x14ac:dyDescent="0.25">
      <c r="A78" s="8" t="s">
        <v>42</v>
      </c>
      <c r="B78">
        <v>1884</v>
      </c>
    </row>
    <row r="79" spans="1:2" x14ac:dyDescent="0.25">
      <c r="A79" s="8" t="s">
        <v>43</v>
      </c>
      <c r="B79">
        <v>1385</v>
      </c>
    </row>
    <row r="80" spans="1:2" x14ac:dyDescent="0.25">
      <c r="A80" s="8" t="s">
        <v>104</v>
      </c>
      <c r="B80">
        <v>8299</v>
      </c>
    </row>
    <row r="82" spans="1:3" x14ac:dyDescent="0.25">
      <c r="A82" s="7" t="s">
        <v>103</v>
      </c>
      <c r="B82" t="s">
        <v>111</v>
      </c>
    </row>
    <row r="83" spans="1:3" x14ac:dyDescent="0.25">
      <c r="A83" s="8" t="s">
        <v>34</v>
      </c>
      <c r="B83">
        <v>739</v>
      </c>
    </row>
    <row r="84" spans="1:3" x14ac:dyDescent="0.25">
      <c r="A84" s="8" t="s">
        <v>35</v>
      </c>
      <c r="B84">
        <v>115</v>
      </c>
    </row>
    <row r="85" spans="1:3" x14ac:dyDescent="0.25">
      <c r="A85" s="8" t="s">
        <v>33</v>
      </c>
      <c r="B85">
        <v>169</v>
      </c>
    </row>
    <row r="86" spans="1:3" x14ac:dyDescent="0.25">
      <c r="A86" s="8" t="s">
        <v>32</v>
      </c>
      <c r="B86">
        <v>75</v>
      </c>
    </row>
    <row r="87" spans="1:3" x14ac:dyDescent="0.25">
      <c r="A87" s="8" t="s">
        <v>36</v>
      </c>
      <c r="B87">
        <v>258</v>
      </c>
    </row>
    <row r="88" spans="1:3" x14ac:dyDescent="0.25">
      <c r="A88" s="8" t="s">
        <v>104</v>
      </c>
      <c r="B88">
        <v>1356</v>
      </c>
    </row>
    <row r="90" spans="1:3" x14ac:dyDescent="0.25">
      <c r="A90" s="7" t="s">
        <v>103</v>
      </c>
      <c r="B90" t="s">
        <v>112</v>
      </c>
      <c r="C90" t="s">
        <v>111</v>
      </c>
    </row>
    <row r="91" spans="1:3" x14ac:dyDescent="0.25">
      <c r="A91" s="8" t="s">
        <v>26</v>
      </c>
      <c r="B91">
        <v>2433</v>
      </c>
      <c r="C91">
        <v>494</v>
      </c>
    </row>
    <row r="92" spans="1:3" x14ac:dyDescent="0.25">
      <c r="A92" s="8" t="s">
        <v>29</v>
      </c>
      <c r="B92">
        <v>1519</v>
      </c>
      <c r="C92">
        <v>245</v>
      </c>
    </row>
    <row r="93" spans="1:3" x14ac:dyDescent="0.25">
      <c r="A93" s="8" t="s">
        <v>28</v>
      </c>
      <c r="B93">
        <v>1119</v>
      </c>
      <c r="C93">
        <v>258</v>
      </c>
    </row>
    <row r="94" spans="1:3" x14ac:dyDescent="0.25">
      <c r="A94" s="8" t="s">
        <v>25</v>
      </c>
      <c r="B94">
        <v>744</v>
      </c>
      <c r="C94">
        <v>169</v>
      </c>
    </row>
    <row r="95" spans="1:3" x14ac:dyDescent="0.25">
      <c r="A95" s="8" t="s">
        <v>27</v>
      </c>
      <c r="B95">
        <v>510</v>
      </c>
      <c r="C95">
        <v>115</v>
      </c>
    </row>
    <row r="96" spans="1:3" x14ac:dyDescent="0.25">
      <c r="A96" s="8" t="s">
        <v>24</v>
      </c>
      <c r="B96">
        <v>270</v>
      </c>
      <c r="C96">
        <v>75</v>
      </c>
    </row>
    <row r="97" spans="1:13" x14ac:dyDescent="0.25">
      <c r="A97" s="8" t="s">
        <v>104</v>
      </c>
      <c r="B97">
        <v>6595</v>
      </c>
      <c r="C97">
        <v>1356</v>
      </c>
    </row>
    <row r="99" spans="1:13" x14ac:dyDescent="0.25">
      <c r="A99" s="7" t="s">
        <v>103</v>
      </c>
      <c r="B99" t="s">
        <v>112</v>
      </c>
      <c r="C99" t="s">
        <v>111</v>
      </c>
    </row>
    <row r="100" spans="1:13" x14ac:dyDescent="0.25">
      <c r="A100" s="8" t="s">
        <v>26</v>
      </c>
      <c r="B100">
        <v>2433</v>
      </c>
      <c r="C100">
        <v>494</v>
      </c>
    </row>
    <row r="101" spans="1:13" x14ac:dyDescent="0.25">
      <c r="A101" s="8" t="s">
        <v>29</v>
      </c>
      <c r="B101">
        <v>1519</v>
      </c>
      <c r="C101">
        <v>245</v>
      </c>
    </row>
    <row r="102" spans="1:13" x14ac:dyDescent="0.25">
      <c r="A102" s="8" t="s">
        <v>28</v>
      </c>
      <c r="B102">
        <v>1119</v>
      </c>
      <c r="C102">
        <v>258</v>
      </c>
    </row>
    <row r="103" spans="1:13" x14ac:dyDescent="0.25">
      <c r="A103" s="8" t="s">
        <v>25</v>
      </c>
      <c r="B103">
        <v>744</v>
      </c>
      <c r="C103">
        <v>169</v>
      </c>
      <c r="L103" s="15"/>
      <c r="M103" s="16"/>
    </row>
    <row r="104" spans="1:13" x14ac:dyDescent="0.25">
      <c r="A104" s="8" t="s">
        <v>27</v>
      </c>
      <c r="B104">
        <v>510</v>
      </c>
      <c r="C104">
        <v>115</v>
      </c>
      <c r="L104" s="14"/>
      <c r="M104" s="17"/>
    </row>
    <row r="105" spans="1:13" x14ac:dyDescent="0.25">
      <c r="A105" s="8" t="s">
        <v>24</v>
      </c>
      <c r="B105">
        <v>270</v>
      </c>
      <c r="C105">
        <v>75</v>
      </c>
      <c r="L105" s="13" t="s">
        <v>113</v>
      </c>
    </row>
    <row r="106" spans="1:13" x14ac:dyDescent="0.25">
      <c r="A106" s="8" t="s">
        <v>104</v>
      </c>
      <c r="B106">
        <v>6595</v>
      </c>
      <c r="C106">
        <v>1356</v>
      </c>
      <c r="L106" s="12"/>
    </row>
    <row r="107" spans="1:13" x14ac:dyDescent="0.25">
      <c r="L107" s="11"/>
    </row>
    <row r="108" spans="1:13" x14ac:dyDescent="0.25">
      <c r="A108" s="7" t="s">
        <v>103</v>
      </c>
      <c r="B108" t="s">
        <v>110</v>
      </c>
    </row>
    <row r="109" spans="1:13" x14ac:dyDescent="0.25">
      <c r="A109" s="8" t="s">
        <v>114</v>
      </c>
    </row>
    <row r="110" spans="1:13" x14ac:dyDescent="0.25">
      <c r="A110" s="18">
        <v>45533</v>
      </c>
      <c r="B110">
        <v>1005</v>
      </c>
    </row>
    <row r="111" spans="1:13" x14ac:dyDescent="0.25">
      <c r="A111" s="18">
        <v>45534</v>
      </c>
      <c r="B111">
        <v>3056</v>
      </c>
    </row>
    <row r="112" spans="1:13" x14ac:dyDescent="0.25">
      <c r="A112" s="18">
        <v>45535</v>
      </c>
      <c r="B112">
        <v>1030</v>
      </c>
    </row>
    <row r="113" spans="1:2" x14ac:dyDescent="0.25">
      <c r="A113" s="8" t="s">
        <v>115</v>
      </c>
    </row>
    <row r="114" spans="1:2" x14ac:dyDescent="0.25">
      <c r="A114" s="18">
        <v>45537</v>
      </c>
      <c r="B114">
        <v>3208</v>
      </c>
    </row>
    <row r="115" spans="1:2" x14ac:dyDescent="0.25">
      <c r="A115" s="8" t="s">
        <v>104</v>
      </c>
      <c r="B115">
        <v>8299</v>
      </c>
    </row>
  </sheetData>
  <hyperlinks>
    <hyperlink ref="L105" r:id="rId10" tooltip="#f2e2cd color" display="https://www.color-hex.com/color/f2e2cd" xr:uid="{D19F9D88-96D8-48C3-91E1-5D72E993A9C5}"/>
  </hyperlinks>
  <pageMargins left="0.7" right="0.7" top="0.75" bottom="0.75" header="0.3" footer="0.3"/>
  <drawing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D5B74-DF8F-4C3C-BE86-2988B6D7D87B}">
  <dimension ref="A1"/>
  <sheetViews>
    <sheetView showGridLines="0" tabSelected="1" zoomScale="82" zoomScaleNormal="82" workbookViewId="0">
      <selection activeCell="T26" sqref="T26"/>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6492F3-C779-4406-B9D7-B7F07C3E5B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Line downtime</vt:lpstr>
      <vt:lpstr>Line productivity</vt:lpstr>
      <vt:lpstr>Downtime factors</vt:lpstr>
      <vt:lpstr>Production Table</vt:lpstr>
      <vt:lpstr>Products</vt:lpstr>
      <vt:lpstr>Downtime</vt:lpstr>
      <vt:lpstr>Calc</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ASUS</cp:lastModifiedBy>
  <dcterms:created xsi:type="dcterms:W3CDTF">2024-08-19T19:52:48Z</dcterms:created>
  <dcterms:modified xsi:type="dcterms:W3CDTF">2026-04-08T13:29:40Z</dcterms:modified>
</cp:coreProperties>
</file>